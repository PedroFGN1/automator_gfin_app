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galvao\Documents\projetos_app_github\automacao_gefin_app\"/>
    </mc:Choice>
  </mc:AlternateContent>
  <xr:revisionPtr revIDLastSave="0" documentId="13_ncr:1_{EAAFE732-BFCD-4521-9345-556FF57BED23}" xr6:coauthVersionLast="36" xr6:coauthVersionMax="36" xr10:uidLastSave="{00000000-0000-0000-0000-000000000000}"/>
  <bookViews>
    <workbookView xWindow="0" yWindow="0" windowWidth="21570" windowHeight="7890" tabRatio="876" xr2:uid="{00000000-000D-0000-FFFF-FFFF00000000}"/>
  </bookViews>
  <sheets>
    <sheet name="Painel" sheetId="7" r:id="rId1"/>
    <sheet name="Fianca Lista" sheetId="16" state="hidden" r:id="rId2"/>
    <sheet name="Fianca" sheetId="11" state="hidden" r:id="rId3"/>
    <sheet name="IPVA" sheetId="3" state="hidden" r:id="rId4"/>
    <sheet name="Preenchimento - Fianca" sheetId="21" state="hidden" r:id="rId5"/>
    <sheet name="Preenchimento - IPVA" sheetId="20" state="hidden" r:id="rId6"/>
    <sheet name="Preenchimento - ITCD" sheetId="22" state="hidden" r:id="rId7"/>
    <sheet name="Preenchimento - ICMS" sheetId="23" state="hidden" r:id="rId8"/>
    <sheet name="ITCD" sheetId="14" state="hidden" r:id="rId9"/>
    <sheet name="Municípios" sheetId="9" state="hidden" r:id="rId10"/>
    <sheet name="INPC" sheetId="4" state="hidden" r:id="rId11"/>
    <sheet name="ICMS" sheetId="15" state="hidden" r:id="rId12"/>
    <sheet name="Marcar DARE" sheetId="19" r:id="rId13"/>
    <sheet name="Memória de Cálculo" sheetId="8" r:id="rId14"/>
    <sheet name="Correção INPC" sheetId="5" r:id="rId15"/>
    <sheet name="Configurações" sheetId="18" state="hidden" r:id="rId16"/>
  </sheets>
  <functionGroups builtInGroupCount="19"/>
  <definedNames>
    <definedName name="_xlnm._FilterDatabase" localSheetId="7" hidden="1">'Preenchimento - ICMS'!$A$1:$B$1</definedName>
    <definedName name="_xlnm._FilterDatabase" localSheetId="5" hidden="1">'Preenchimento - IPVA'!$A$1:$B$1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21" l="1"/>
  <c r="C7" i="21"/>
  <c r="C6" i="21"/>
  <c r="C22" i="21"/>
  <c r="C19" i="21"/>
  <c r="C20" i="21"/>
  <c r="B21" i="22"/>
  <c r="B20" i="22"/>
  <c r="B22" i="23"/>
  <c r="B21" i="23"/>
  <c r="C16" i="21"/>
  <c r="C17" i="21" l="1"/>
  <c r="C21" i="21"/>
  <c r="B6" i="20"/>
  <c r="B22" i="20"/>
  <c r="B21" i="20"/>
  <c r="B8" i="23" l="1"/>
  <c r="B7" i="23"/>
  <c r="B7" i="22"/>
  <c r="B6" i="22"/>
  <c r="B7" i="21"/>
  <c r="B24" i="23"/>
  <c r="B22" i="21"/>
  <c r="E2" i="5"/>
  <c r="B25" i="20"/>
  <c r="B23" i="22"/>
  <c r="B20" i="23" l="1"/>
  <c r="B19" i="22"/>
  <c r="B6" i="21"/>
  <c r="B23" i="20"/>
  <c r="B20" i="21"/>
  <c r="B19" i="21"/>
  <c r="B19" i="23"/>
  <c r="B18" i="22"/>
  <c r="B17" i="22" l="1"/>
  <c r="B18" i="23"/>
  <c r="B23" i="23" l="1"/>
  <c r="B22" i="22"/>
  <c r="B18" i="21"/>
  <c r="B16" i="21"/>
  <c r="B17" i="21" l="1"/>
  <c r="B21" i="21" s="1"/>
  <c r="B20" i="20" l="1"/>
  <c r="B19" i="20"/>
  <c r="B18" i="20" l="1"/>
  <c r="Q2" i="16" l="1"/>
  <c r="P2" i="16"/>
  <c r="F2" i="16"/>
  <c r="R2" i="16"/>
  <c r="G2" i="19" l="1"/>
  <c r="I2" i="16" l="1"/>
  <c r="J2" i="16"/>
  <c r="K2" i="16" l="1"/>
  <c r="S2" i="16" s="1"/>
  <c r="F4" i="8"/>
  <c r="F6" i="8"/>
  <c r="F5" i="8"/>
  <c r="F7" i="8" l="1"/>
  <c r="B8" i="8" s="1"/>
  <c r="E7" i="8"/>
  <c r="H6" i="8"/>
  <c r="H5" i="8"/>
  <c r="H4" i="8"/>
  <c r="H7" i="8" l="1"/>
  <c r="F2" i="5" l="1"/>
  <c r="G2" i="5" s="1"/>
  <c r="B24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T1" authorId="0" shapeId="0" xr:uid="{18233671-B9AE-4655-B210-01E9E35F0A8F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U1" authorId="0" shapeId="0" xr:uid="{E42F78A1-9BB9-4290-B871-FCE603BC480F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4" authorId="0" shapeId="0" xr:uid="{7A79436D-F320-4AB3-9AE4-EAF1114340D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4" authorId="0" shapeId="0" xr:uid="{D820AFDB-915E-4DED-B307-CB97D643A7A0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 xml:space="preserve">SEM ESPAÇO </t>
        </r>
        <r>
          <rPr>
            <sz val="9"/>
            <color indexed="81"/>
            <rFont val="Segoe UI"/>
            <family val="2"/>
          </rPr>
          <t>entre eles. Ex: 12345</t>
        </r>
      </text>
    </comment>
    <comment ref="C14" authorId="0" shapeId="0" xr:uid="{2BF6FB75-014A-4243-B0D6-6338A379E338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 xml:space="preserve">SEM ESPAÇO </t>
        </r>
        <r>
          <rPr>
            <sz val="9"/>
            <color indexed="81"/>
            <rFont val="Segoe UI"/>
            <family val="2"/>
          </rPr>
          <t>entre eles. Ex: 12345</t>
        </r>
      </text>
    </comment>
    <comment ref="A15" authorId="0" shapeId="0" xr:uid="{F9E25B8C-35A7-487C-AE22-C6899E0327E2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5" authorId="0" shapeId="0" xr:uid="{F3FFF31C-72AF-47B3-B63C-2A0646F9DC72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C15" authorId="0" shapeId="0" xr:uid="{3F2428EC-6CCF-4D4E-93C7-A801CBE7E153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6" authorId="0" shapeId="0" xr:uid="{1104DA0F-FBBB-4F75-87AA-CC26832DFCB1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6" authorId="0" shapeId="0" xr:uid="{0AB21CFA-61C0-4803-8B07-34B890417E0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A17" authorId="0" shapeId="0" xr:uid="{FD9F3EC2-4A25-4F7B-94CA-C60F1DBE63E3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7" authorId="0" shapeId="0" xr:uid="{24A6D404-D07F-46FC-9297-9AF643D5A86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B15" authorId="0" shapeId="0" xr:uid="{A40E5EA3-A18F-46F4-81F6-ECEA824F5A25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B16" authorId="0" shapeId="0" xr:uid="{7ADB6BE7-FA97-463A-88E9-16B1D8165174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6" authorId="0" shapeId="0" xr:uid="{CE3D0DBA-A457-4C85-BDDA-F15266BBAEC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6" authorId="0" shapeId="0" xr:uid="{4B29F140-5BB5-4F18-8AD7-8F0A80F59D5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A17" authorId="0" shapeId="0" xr:uid="{C32A9639-D5E9-4BEA-9DBE-FB3A1DD2720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7" authorId="0" shapeId="0" xr:uid="{B4E45300-B439-42F0-BADC-80A08EB63C05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I1" authorId="0" shapeId="0" xr:uid="{5043883F-C830-4D4D-BC52-D74B923088B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J1" authorId="0" shapeId="0" xr:uid="{31475201-A570-44A4-998C-0FAAE6874AB4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sharedStrings.xml><?xml version="1.0" encoding="utf-8"?>
<sst xmlns="http://schemas.openxmlformats.org/spreadsheetml/2006/main" count="597" uniqueCount="349">
  <si>
    <t>Banco</t>
  </si>
  <si>
    <t>Conta</t>
  </si>
  <si>
    <t>Histórico</t>
  </si>
  <si>
    <t>Agência</t>
  </si>
  <si>
    <t>Acusado</t>
  </si>
  <si>
    <t>Proc. SEI</t>
  </si>
  <si>
    <t>Valor autorizado</t>
  </si>
  <si>
    <t>Beneficiário</t>
  </si>
  <si>
    <t>Data pagamento DARE</t>
  </si>
  <si>
    <t>JÚLIO CÉSAR SANTOS DE SOUZA</t>
  </si>
  <si>
    <t>962.309.401-91</t>
  </si>
  <si>
    <t>Data da restituição</t>
  </si>
  <si>
    <t>Valor Atualizado</t>
  </si>
  <si>
    <t>Data</t>
  </si>
  <si>
    <t>188 - Índice nacional de preços ao consumidor (INPC) - Var. % mensal</t>
  </si>
  <si>
    <t>Valor</t>
  </si>
  <si>
    <t>Data de Início</t>
  </si>
  <si>
    <t>Data Fim</t>
  </si>
  <si>
    <t>Fator de Correção</t>
  </si>
  <si>
    <t>Correção</t>
  </si>
  <si>
    <t>Valor total</t>
  </si>
  <si>
    <t>Valor de Correção</t>
  </si>
  <si>
    <t>CPF | CNPJ (Beneficiário)</t>
  </si>
  <si>
    <t>Cálculo</t>
  </si>
  <si>
    <t>NÃO</t>
  </si>
  <si>
    <t>SIM</t>
  </si>
  <si>
    <t>Entre com os valores de entrada antes de clicar no botão.</t>
  </si>
  <si>
    <t>Caminho de Saída:</t>
  </si>
  <si>
    <t>Contribuinte</t>
  </si>
  <si>
    <t>MEMÓRIA DE CÁLCULO CONSOLIDADA</t>
  </si>
  <si>
    <t>Exação</t>
  </si>
  <si>
    <t>DARE</t>
  </si>
  <si>
    <t>Data do Recolhimento</t>
  </si>
  <si>
    <t>Valor de Restituição</t>
  </si>
  <si>
    <t>Valor Atual Líquido</t>
  </si>
  <si>
    <t>12100002320600748</t>
  </si>
  <si>
    <t>12100002320801148</t>
  </si>
  <si>
    <t>12100002320900896</t>
  </si>
  <si>
    <t>TOTAL</t>
  </si>
  <si>
    <t>Código Município</t>
  </si>
  <si>
    <t>Município (Nome)</t>
  </si>
  <si>
    <t>Sem Exação</t>
  </si>
  <si>
    <t>Código</t>
  </si>
  <si>
    <t>Nome do município</t>
  </si>
  <si>
    <t>ABADIA DE GOIAS</t>
  </si>
  <si>
    <t>ABADIANIA</t>
  </si>
  <si>
    <t>ACREUNA</t>
  </si>
  <si>
    <t>ADELANDIA</t>
  </si>
  <si>
    <t>AGUA FRIA DE GOIAS</t>
  </si>
  <si>
    <t>AGUA LIMPA</t>
  </si>
  <si>
    <t>AGUAS LINDAS DE GOIAS</t>
  </si>
  <si>
    <t>ALEXANIA</t>
  </si>
  <si>
    <t>ALOANDIA</t>
  </si>
  <si>
    <t>ALTO HORIZONTE</t>
  </si>
  <si>
    <t>ALTO PARAISO DE GOIAS</t>
  </si>
  <si>
    <t>ALVORADA DO NORTE</t>
  </si>
  <si>
    <t>AMARALINA</t>
  </si>
  <si>
    <t>AMERICANO DO BRASIL</t>
  </si>
  <si>
    <t>AMORINOPOLIS</t>
  </si>
  <si>
    <t>ANAPOLIS</t>
  </si>
  <si>
    <t>ANHANGUERA</t>
  </si>
  <si>
    <t>ANICUNS</t>
  </si>
  <si>
    <t>APARECIDA DE GOIANIA</t>
  </si>
  <si>
    <t>APARECIDA DO RIO DOCE</t>
  </si>
  <si>
    <t>APORE</t>
  </si>
  <si>
    <t>ARACU</t>
  </si>
  <si>
    <t>ARAGARCAS</t>
  </si>
  <si>
    <t>ARAGOIANIA</t>
  </si>
  <si>
    <t>ARAGUAPAZ</t>
  </si>
  <si>
    <t>ARENOPOLIS</t>
  </si>
  <si>
    <t>ARUANA</t>
  </si>
  <si>
    <t>AURILANDIA</t>
  </si>
  <si>
    <t>AVELINOPOLIS</t>
  </si>
  <si>
    <t>BALIZA</t>
  </si>
  <si>
    <t>BARRO ALTO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</si>
  <si>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</si>
  <si>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</si>
  <si>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</si>
  <si>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</si>
  <si>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</si>
  <si>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</si>
  <si>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</si>
  <si>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</si>
  <si>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</si>
  <si>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BURITINOPOLIS</t>
  </si>
  <si>
    <t>CABECEIRAS</t>
  </si>
  <si>
    <t>CACHOEIRA ALTA</t>
  </si>
  <si>
    <t>CACHOEIRA DE GOIAS</t>
  </si>
  <si>
    <t>CACHOEIRA DOURADA</t>
  </si>
  <si>
    <t>CACU</t>
  </si>
  <si>
    <t>CAIAPONIA</t>
  </si>
  <si>
    <t>CALDAS NOVAS</t>
  </si>
  <si>
    <t>CALDAZINHA</t>
  </si>
  <si>
    <t>CAMPESTRE DE GOIAS</t>
  </si>
  <si>
    <t>CAMPINACU</t>
  </si>
  <si>
    <t>CAMPINORTE</t>
  </si>
  <si>
    <t>CAMPO ALEGRE DE GOIAS</t>
  </si>
  <si>
    <t>CAMPO LIMPO DE GOIAS</t>
  </si>
  <si>
    <t>CAMPOS BELOS</t>
  </si>
  <si>
    <t>CAMPOS VERDES</t>
  </si>
  <si>
    <t>CARMO DO RIO VERDE</t>
  </si>
  <si>
    <t>CASTELANDIA</t>
  </si>
  <si>
    <t>CATALAO</t>
  </si>
  <si>
    <t>CATURAI</t>
  </si>
  <si>
    <t>CAVALCANTE</t>
  </si>
  <si>
    <t>CERES</t>
  </si>
  <si>
    <t>CEZARINA</t>
  </si>
  <si>
    <t>CHAPADAO DO CEU</t>
  </si>
  <si>
    <t>CIDADE OCIDENTAL</t>
  </si>
  <si>
    <t>COCALZINHO DE GOIAS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</si>
  <si>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</si>
  <si>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</si>
  <si>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</si>
  <si>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</si>
  <si>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</si>
  <si>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</si>
  <si>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</si>
  <si>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</si>
  <si>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</si>
  <si>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</si>
  <si>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</si>
  <si>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DAVINOPOLIS</t>
  </si>
  <si>
    <t>DIORAMA</t>
  </si>
  <si>
    <t>DIVINOPOLIS DE GOIAS</t>
  </si>
  <si>
    <t>DOVERLANDIA</t>
  </si>
  <si>
    <t>EDEALINA</t>
  </si>
  <si>
    <t>EDEIA</t>
  </si>
  <si>
    <t>ESTRELA DO NORTE</t>
  </si>
  <si>
    <t>FAINA</t>
  </si>
  <si>
    <t>FAZENDA NOVA</t>
  </si>
  <si>
    <t>FIRMINOPOLIS</t>
  </si>
  <si>
    <t>FLORES DE GOIAS</t>
  </si>
  <si>
    <t>FORMOSA</t>
  </si>
  <si>
    <t>FORMOSO</t>
  </si>
  <si>
    <t>GAMELEIRA DE GOIAS</t>
  </si>
  <si>
    <t>GOIANAPOLIS</t>
  </si>
  <si>
    <t>GOIANDIRA</t>
  </si>
  <si>
    <t>GOIANESIA</t>
  </si>
  <si>
    <t>GOIANIA</t>
  </si>
  <si>
    <t>GOIANIRA</t>
  </si>
  <si>
    <t>GOIAS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</si>
  <si>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</si>
  <si>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</si>
  <si>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</si>
  <si>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</si>
  <si>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</si>
  <si>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</si>
  <si>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</si>
  <si>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HIDROLANDIA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</si>
  <si>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</si>
  <si>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</si>
  <si>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</si>
  <si>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</si>
  <si>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</si>
  <si>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</si>
  <si>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</si>
  <si>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IPORA</t>
  </si>
  <si>
    <t>ISRAELANDIA</t>
  </si>
  <si>
    <t>ITABERAI</t>
  </si>
  <si>
    <t>ITAGUARI</t>
  </si>
  <si>
    <t>ITAGUARU</t>
  </si>
  <si>
    <t>ITAJA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</si>
  <si>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</si>
  <si>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</si>
  <si>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</si>
  <si>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</si>
  <si>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</si>
  <si>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</si>
  <si>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</si>
  <si>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</si>
  <si>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</si>
  <si>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</si>
  <si>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</si>
  <si>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JESUPOLIS</t>
  </si>
  <si>
    <t>JOVIANIA</t>
  </si>
  <si>
    <t>JUSSARA</t>
  </si>
  <si>
    <t>LAGOA SANTA</t>
  </si>
  <si>
    <t>LEOPOLDO DE BULHOES</t>
  </si>
  <si>
    <t>LUZIANIA</t>
  </si>
  <si>
    <t>MAIRIPOTABA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</si>
  <si>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</si>
  <si>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</si>
  <si>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</si>
  <si>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</si>
  <si>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</si>
  <si>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</si>
  <si>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</si>
  <si>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</si>
  <si>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MOIPORA</t>
  </si>
  <si>
    <t>MONTE ALEGRE DE GOIAS</t>
  </si>
  <si>
    <t>MONTES CLAROS DE GOIAS</t>
  </si>
  <si>
    <t>MONTIVIDIU</t>
  </si>
  <si>
    <t>MONTIVIDIU DO NORTE</t>
  </si>
  <si>
    <t>MORRINHOS</t>
  </si>
  <si>
    <t>MORRO AGUDO DE GOIAS</t>
  </si>
  <si>
    <t>MOSSAMEDES</t>
  </si>
  <si>
    <t>MOZARLANDIA</t>
  </si>
  <si>
    <t>MUNDO NOVO</t>
  </si>
  <si>
    <t>MUTUNOPOLIS</t>
  </si>
  <si>
    <t>NAZARIO</t>
  </si>
  <si>
    <t>NEROPOLIS</t>
  </si>
  <si>
    <t>NIQUELANDIA</t>
  </si>
  <si>
    <t>NOVA AMERICA</t>
  </si>
  <si>
    <t>NOVA AURORA</t>
  </si>
  <si>
    <t>NOVA CRIXAS</t>
  </si>
  <si>
    <t>NOVA GLORIA</t>
  </si>
  <si>
    <t>NOVA IGUACU DE GOIAS</t>
  </si>
  <si>
    <t>NOVA ROMA</t>
  </si>
  <si>
    <t>NOVA VENEZA</t>
  </si>
  <si>
    <t>NOVO BRASIL</t>
  </si>
  <si>
    <t>NOVO GAMA</t>
  </si>
  <si>
    <t>NOVO PLANALTO</t>
  </si>
  <si>
    <t>ORIZONA</t>
  </si>
  <si>
    <t>OURO VERDE DE GOIAS</t>
  </si>
  <si>
    <t>OUVIDOR</t>
  </si>
  <si>
    <t>PADRE BERNARDO</t>
  </si>
  <si>
    <t>PALESTINA DE GOIAS</t>
  </si>
  <si>
    <t>PALMEIRAS DE GOIAS</t>
  </si>
  <si>
    <t>PALMELO</t>
  </si>
  <si>
    <t>PALMINOPOLIS</t>
  </si>
  <si>
    <t>PANAMA</t>
  </si>
  <si>
    <t>PARANAIGUARA</t>
  </si>
  <si>
    <t>PARAUNA</t>
  </si>
  <si>
    <t>PEROLANDIA</t>
  </si>
  <si>
    <t>PETROLINA DE GOIAS</t>
  </si>
  <si>
    <t>PILAR DE GOIAS</t>
  </si>
  <si>
    <t>PIRACANJUBA</t>
  </si>
  <si>
    <t>PIRANHAS</t>
  </si>
  <si>
    <t>PIRENOPOLIS</t>
  </si>
  <si>
    <t>PIRES DO RIO</t>
  </si>
  <si>
    <t>PLANALTINA</t>
  </si>
  <si>
    <t>PONTALINA</t>
  </si>
  <si>
    <t>PORANGATU</t>
  </si>
  <si>
    <t>PORTEIRAO</t>
  </si>
  <si>
    <t>PORTELANDIA</t>
  </si>
  <si>
    <t>POSSE</t>
  </si>
  <si>
    <t>PROFESSOR JAMIL</t>
  </si>
  <si>
    <t>QUIRINOPOLIS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</si>
  <si>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</si>
  <si>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</si>
  <si>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</si>
  <si>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</si>
  <si>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</si>
  <si>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</si>
  <si>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</si>
  <si>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</si>
  <si>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</si>
  <si>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</si>
  <si>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ISABEL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</si>
  <si>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</si>
  <si>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</si>
  <si>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</si>
  <si>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</si>
  <si>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</si>
  <si>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</si>
  <si>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</si>
  <si>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</si>
  <si>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DOMINGOS</t>
  </si>
  <si>
    <t>SAO FRANCISCO DE GOIAS</t>
  </si>
  <si>
    <t>SAO JOAO DA PARAUNA</t>
  </si>
  <si>
    <t>SAO JOAO D'ALIANCA</t>
  </si>
  <si>
    <t>SAO LUIS DE MONTES BELOS</t>
  </si>
  <si>
    <t>SAO LUIZ DO NORTE</t>
  </si>
  <si>
    <t>SAO MIGUEL DO ARAGUAIA</t>
  </si>
  <si>
    <t>SAO MIGUEL DO PASSA QUATRO</t>
  </si>
  <si>
    <t>SAO PATRICIO</t>
  </si>
  <si>
    <t>SAO SIMAO</t>
  </si>
  <si>
    <t>SENADOR CANEDO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</si>
  <si>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</si>
  <si>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</si>
  <si>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</si>
  <si>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</si>
  <si>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</si>
  <si>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</si>
  <si>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</si>
  <si>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</si>
  <si>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TRINDADE</t>
  </si>
  <si>
    <t>TROMBAS</t>
  </si>
  <si>
    <t>TURVANIA</t>
  </si>
  <si>
    <t>TURVELANDIA</t>
  </si>
  <si>
    <t>UIRAPURU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</si>
  <si>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</si>
  <si>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</si>
  <si>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</si>
  <si>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</si>
  <si>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</si>
  <si>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</si>
  <si>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</si>
  <si>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</si>
  <si>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VILA PROPICIO</t>
  </si>
  <si>
    <t>Múltiplos DARE's?</t>
  </si>
  <si>
    <t>IPVA</t>
  </si>
  <si>
    <t>Proc. Judicial</t>
  </si>
  <si>
    <t>5723847-45.2025.8.09.0019</t>
  </si>
  <si>
    <t>Fianca</t>
  </si>
  <si>
    <t>ITCD</t>
  </si>
  <si>
    <t>ICMS</t>
  </si>
  <si>
    <t>Fianca Lista</t>
  </si>
  <si>
    <t>Marcar Dare</t>
  </si>
  <si>
    <t>SEQ - TERMINAL</t>
  </si>
  <si>
    <t>END -TERMINAL</t>
  </si>
  <si>
    <t>Planilha</t>
  </si>
  <si>
    <t>Possui V/F?</t>
  </si>
  <si>
    <t>Possui S/N?</t>
  </si>
  <si>
    <t>x</t>
  </si>
  <si>
    <t>Possui Mem. Cálculo?</t>
  </si>
  <si>
    <t>Exportação</t>
  </si>
  <si>
    <t>Valid CPF/CnpJ</t>
  </si>
  <si>
    <t>Tamanho SEQ</t>
  </si>
  <si>
    <t>Tamanho END</t>
  </si>
  <si>
    <t>SELETORES</t>
  </si>
  <si>
    <t>Inscrição</t>
  </si>
  <si>
    <t>Emissão</t>
  </si>
  <si>
    <t>CNPJ</t>
  </si>
  <si>
    <t>Vencimento</t>
  </si>
  <si>
    <t>CPF</t>
  </si>
  <si>
    <t>Placa</t>
  </si>
  <si>
    <t>Pagamento</t>
  </si>
  <si>
    <t>CNPJ Base</t>
  </si>
  <si>
    <t>Tipo de Contribuinte</t>
  </si>
  <si>
    <t>Data da Marcação</t>
  </si>
  <si>
    <t>GNRE</t>
  </si>
  <si>
    <t>Tipo</t>
  </si>
  <si>
    <t>202400004111330</t>
  </si>
  <si>
    <t>12100002434502704</t>
  </si>
  <si>
    <t>11754</t>
  </si>
  <si>
    <t>00245</t>
  </si>
  <si>
    <t>Outorgado</t>
  </si>
  <si>
    <t>12345</t>
  </si>
  <si>
    <t>DARE/GNRE Nº</t>
  </si>
  <si>
    <t>202500004102940</t>
  </si>
  <si>
    <t>12100002525201600</t>
  </si>
  <si>
    <t>C:\Users\pedro.galvao\Documents\projetos_app_github\automacao_gefin_app</t>
  </si>
  <si>
    <t>Contribuinte - Marcação</t>
  </si>
  <si>
    <t>Tipo de Beneficiário</t>
  </si>
  <si>
    <t/>
  </si>
  <si>
    <t>Restituição de fiança-crime, conforme ordem judicial expedida e enviada à esta Secretaria para cumprimento, no bojo dos autos judiciais nº 
Acusado:   Inscrição: 
Beneficiário do Alvará: 0  Inscrição: 0
DARE referência: 
Valor autorizado a restituir: R$ 456,56
 Valor atualizado Correção pelo INPC (IBGE): R$ 483,23
Processo SEI nº 123456</t>
  </si>
  <si>
    <t>DARE/GNRE/DAS</t>
  </si>
  <si>
    <t>Sem Exação?</t>
  </si>
  <si>
    <t>Preencher Planilha</t>
  </si>
  <si>
    <t xml:space="preserve">Restituição de indébito tributário, decorrente de recolhimento indevido ao Tesouro Estadual, conforme Despacho Autorizativo e documentação acostada aos autos SEI nº  
Contribuinte: , inscrita no Inscrição sob nº: 
DARE referência: 
Valor autorizado a restituir: R$ 0,00
Valor atualizado líquido: R$ 
Beneficiário da OPE: 0  Inscrição: </t>
  </si>
  <si>
    <t>Usuário</t>
  </si>
  <si>
    <t>pedro.galvao</t>
  </si>
  <si>
    <t>DAS</t>
  </si>
  <si>
    <t>Restituição de indébito tributário, decorrente de recolhimento indevido ao Tesouro Estadual, conforme Despacho Autorizativo e documentação acostada aos autos SEI nº  
Contribuinte: , inscrita no Inscrição sob nº: 
DARE referência: 
Valor autorizado a restituir: R$ 0,00
Valor atualizado líquido: R$ 
Beneficiário da OPE: 0  Inscrição: 0</t>
  </si>
  <si>
    <t>Painel</t>
  </si>
  <si>
    <t>Limpar Planilhas</t>
  </si>
  <si>
    <t xml:space="preserve">Restituição de indébito tributário, decorrente de recolhimento indevido ao Tesouro Estadual, conforme Despacho Autorizativo e documentação acostada aos autos SEI nº  
Contribuinte: 
Veículo Inscrição: 
DARE referência: 
Valor autorizado a restituir: R$ 0,00
Valor atualizado líquido: R$ 
Beneficiário da OPE: 0  Inscrição: </t>
  </si>
  <si>
    <t>Documento Referência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</si>
</sst>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00"/>
    <numFmt numFmtId="165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6600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4"/>
      <color rgb="FF339966"/>
      <name val="Arial"/>
      <family val="2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6"/>
      <color theme="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1"/>
      <color rgb="FF3F3F76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3F3F3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rgb="FF008000"/>
      <name val="Consolas"/>
      <family val="3"/>
    </font>
    <font>
      <b/>
      <sz val="11"/>
      <color rgb="FFFF0000"/>
      <name val="Arial Black"/>
      <family val="2"/>
    </font>
    <font>
      <i/>
      <sz val="11"/>
      <color rgb="FF7F7F7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6600"/>
      <name val="Bookman Old Style"/>
      <family val="1"/>
    </font>
    <font>
      <b/>
      <sz val="14"/>
      <color rgb="FF0000FF"/>
      <name val="Bookman Old Style"/>
      <family val="1"/>
    </font>
    <font>
      <b/>
      <sz val="14"/>
      <color rgb="FF008000"/>
      <name val="Bookman Old Style"/>
      <family val="1"/>
    </font>
    <font>
      <b/>
      <sz val="14"/>
      <color rgb="FFFF0000"/>
      <name val="Bookman Old Style"/>
      <family val="1"/>
    </font>
    <font>
      <b/>
      <sz val="14"/>
      <color rgb="FF800080"/>
      <name val="Bookman Old Style"/>
      <family val="1"/>
    </font>
  </fonts>
  <fills count="2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gradientFill degree="270">
        <stop position="0">
          <color theme="9" tint="-0.25098422193060094"/>
        </stop>
        <stop position="1">
          <color theme="9" tint="-0.49803155613879818"/>
        </stop>
      </gradientFill>
    </fill>
    <fill>
      <gradientFill degree="270">
        <stop position="0">
          <color theme="8"/>
        </stop>
        <stop position="1">
          <color theme="8" tint="-0.25098422193060094"/>
        </stop>
      </gradientFill>
    </fill>
    <fill>
      <gradientFill degree="270">
        <stop position="0">
          <color theme="9"/>
        </stop>
        <stop position="1">
          <color theme="9" tint="-0.25098422193060094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9" tint="-0.25098422193060094"/>
        </stop>
        <stop position="1">
          <color theme="9" tint="-0.49803155613879818"/>
        </stop>
      </gradientFill>
    </fill>
    <fill>
      <gradientFill degree="90">
        <stop position="0">
          <color theme="8" tint="-0.25098422193060094"/>
        </stop>
        <stop position="1">
          <color theme="8" tint="-0.49803155613879818"/>
        </stop>
      </gradientFill>
    </fill>
    <fill>
      <patternFill patternType="solid">
        <fgColor theme="5"/>
      </patternFill>
    </fill>
    <fill>
      <patternFill patternType="solid">
        <fgColor rgb="FFFFFFCC"/>
      </patternFill>
    </fill>
    <fill>
      <patternFill patternType="solid">
        <fgColor rgb="FFFFCC99"/>
        <bgColor rgb="FFFFFFFF"/>
      </patternFill>
    </fill>
    <fill>
      <patternFill patternType="solid">
        <fgColor theme="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/>
      <bottom style="thin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indexed="64"/>
      </right>
      <top style="thin">
        <color rgb="FF3F3F3F"/>
      </top>
      <bottom/>
      <diagonal/>
    </border>
    <border>
      <left style="thin">
        <color rgb="FF7F7F7F"/>
      </left>
      <right style="thin">
        <color indexed="64"/>
      </right>
      <top style="thin">
        <color rgb="FF3F3F3F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</borders>
  <cellStyleXfs count="19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0" applyNumberFormat="0" applyBorder="0" applyAlignment="0" applyProtection="0"/>
    <xf numFmtId="0" fontId="5" fillId="3" borderId="3" applyNumberFormat="0" applyAlignment="0" applyProtection="0"/>
    <xf numFmtId="0" fontId="6" fillId="4" borderId="4" applyNumberFormat="0" applyAlignment="0" applyProtection="0"/>
    <xf numFmtId="0" fontId="7" fillId="4" borderId="3" applyNumberFormat="0" applyAlignment="0" applyProtection="0"/>
    <xf numFmtId="0" fontId="8" fillId="0" borderId="5" applyNumberFormat="0" applyFill="0" applyAlignment="0" applyProtection="0"/>
    <xf numFmtId="0" fontId="9" fillId="5" borderId="6" applyNumberFormat="0" applyAlignment="0" applyProtection="0"/>
    <xf numFmtId="0" fontId="10" fillId="0" borderId="7" applyNumberFormat="0" applyFill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165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1" fillId="16" borderId="0" applyNumberFormat="0" applyBorder="0" applyAlignment="0" applyProtection="0"/>
    <xf numFmtId="0" fontId="1" fillId="17" borderId="35" applyNumberFormat="0" applyFont="0" applyAlignment="0" applyProtection="0"/>
    <xf numFmtId="0" fontId="21" fillId="19" borderId="0" applyNumberFormat="0" applyBorder="0" applyAlignment="0" applyProtection="0"/>
    <xf numFmtId="0" fontId="41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4" fillId="2" borderId="0" xfId="3" applyAlignment="1">
      <alignment horizontal="center" vertical="center"/>
    </xf>
    <xf numFmtId="0" fontId="5" fillId="3" borderId="3" xfId="4"/>
    <xf numFmtId="0" fontId="1" fillId="7" borderId="8" xfId="11" applyBorder="1"/>
    <xf numFmtId="0" fontId="1" fillId="6" borderId="8" xfId="10" applyBorder="1"/>
    <xf numFmtId="49" fontId="8" fillId="0" borderId="5" xfId="7" applyNumberFormat="1" applyAlignment="1">
      <alignment vertical="center"/>
    </xf>
    <xf numFmtId="43" fontId="8" fillId="0" borderId="5" xfId="7" applyNumberFormat="1"/>
    <xf numFmtId="14" fontId="8" fillId="0" borderId="5" xfId="7" applyNumberFormat="1" applyAlignment="1">
      <alignment horizontal="center"/>
    </xf>
    <xf numFmtId="0" fontId="8" fillId="0" borderId="5" xfId="7"/>
    <xf numFmtId="0" fontId="3" fillId="0" borderId="2" xfId="2" applyAlignment="1">
      <alignment horizontal="center" vertical="center"/>
    </xf>
    <xf numFmtId="164" fontId="7" fillId="4" borderId="3" xfId="6" applyNumberFormat="1" applyAlignment="1">
      <alignment horizontal="center"/>
    </xf>
    <xf numFmtId="43" fontId="4" fillId="2" borderId="8" xfId="3" applyNumberFormat="1" applyBorder="1" applyAlignment="1">
      <alignment horizontal="center" vertical="center" wrapText="1"/>
    </xf>
    <xf numFmtId="43" fontId="10" fillId="4" borderId="7" xfId="9" applyNumberFormat="1" applyFill="1"/>
    <xf numFmtId="0" fontId="2" fillId="0" borderId="1" xfId="1" applyAlignment="1">
      <alignment horizontal="center" vertical="center"/>
    </xf>
    <xf numFmtId="43" fontId="7" fillId="4" borderId="3" xfId="6" applyNumberFormat="1"/>
    <xf numFmtId="0" fontId="4" fillId="2" borderId="3" xfId="3" applyBorder="1" applyAlignment="1">
      <alignment horizontal="center" vertical="center"/>
    </xf>
    <xf numFmtId="0" fontId="9" fillId="5" borderId="6" xfId="8"/>
    <xf numFmtId="0" fontId="0" fillId="7" borderId="8" xfId="11" applyFont="1" applyBorder="1"/>
    <xf numFmtId="0" fontId="0" fillId="6" borderId="8" xfId="10" applyFont="1" applyBorder="1"/>
    <xf numFmtId="0" fontId="6" fillId="4" borderId="4" xfId="5"/>
    <xf numFmtId="0" fontId="7" fillId="4" borderId="3" xfId="6" applyFont="1" applyAlignment="1">
      <alignment horizontal="center" vertical="center"/>
    </xf>
    <xf numFmtId="0" fontId="10" fillId="4" borderId="7" xfId="9" applyFont="1" applyFill="1"/>
    <xf numFmtId="0" fontId="6" fillId="4" borderId="4" xfId="5" applyFont="1" applyAlignment="1">
      <alignment vertical="center" wrapText="1"/>
    </xf>
    <xf numFmtId="0" fontId="0" fillId="0" borderId="0" xfId="0" applyAlignment="1">
      <alignment horizontal="center"/>
    </xf>
    <xf numFmtId="43" fontId="13" fillId="0" borderId="0" xfId="0" applyNumberFormat="1" applyFont="1" applyAlignment="1">
      <alignment vertical="center" wrapText="1"/>
    </xf>
    <xf numFmtId="43" fontId="14" fillId="0" borderId="0" xfId="0" applyNumberFormat="1" applyFont="1" applyAlignment="1">
      <alignment vertical="center"/>
    </xf>
    <xf numFmtId="0" fontId="9" fillId="11" borderId="14" xfId="0" applyFont="1" applyFill="1" applyBorder="1" applyAlignment="1">
      <alignment horizontal="center" vertical="center" wrapText="1"/>
    </xf>
    <xf numFmtId="0" fontId="9" fillId="11" borderId="15" xfId="0" applyFont="1" applyFill="1" applyBorder="1" applyAlignment="1">
      <alignment horizontal="center" vertical="center" wrapText="1"/>
    </xf>
    <xf numFmtId="49" fontId="0" fillId="12" borderId="17" xfId="0" applyNumberFormat="1" applyFill="1" applyBorder="1" applyAlignment="1">
      <alignment horizontal="right" vertical="center" indent="1"/>
    </xf>
    <xf numFmtId="49" fontId="0" fillId="12" borderId="18" xfId="0" applyNumberFormat="1" applyFill="1" applyBorder="1" applyAlignment="1">
      <alignment horizontal="right" vertical="center" indent="1"/>
    </xf>
    <xf numFmtId="14" fontId="0" fillId="12" borderId="19" xfId="0" applyNumberFormat="1" applyFill="1" applyBorder="1" applyAlignment="1">
      <alignment horizontal="center" vertical="center"/>
    </xf>
    <xf numFmtId="165" fontId="0" fillId="12" borderId="19" xfId="12" applyFont="1" applyFill="1" applyBorder="1"/>
    <xf numFmtId="165" fontId="0" fillId="12" borderId="20" xfId="12" applyFont="1" applyFill="1" applyBorder="1"/>
    <xf numFmtId="165" fontId="0" fillId="13" borderId="21" xfId="12" applyFont="1" applyFill="1" applyBorder="1"/>
    <xf numFmtId="14" fontId="0" fillId="12" borderId="22" xfId="0" applyNumberFormat="1" applyFill="1" applyBorder="1" applyAlignment="1">
      <alignment horizontal="center" vertical="center"/>
    </xf>
    <xf numFmtId="165" fontId="0" fillId="12" borderId="22" xfId="12" applyFont="1" applyFill="1" applyBorder="1"/>
    <xf numFmtId="165" fontId="0" fillId="12" borderId="23" xfId="12" applyFont="1" applyFill="1" applyBorder="1"/>
    <xf numFmtId="165" fontId="9" fillId="14" borderId="25" xfId="12" applyFont="1" applyFill="1" applyBorder="1"/>
    <xf numFmtId="165" fontId="9" fillId="14" borderId="26" xfId="12" applyFont="1" applyFill="1" applyBorder="1"/>
    <xf numFmtId="165" fontId="9" fillId="15" borderId="27" xfId="12" applyFont="1" applyFill="1" applyBorder="1"/>
    <xf numFmtId="0" fontId="0" fillId="0" borderId="0" xfId="0" applyBorder="1"/>
    <xf numFmtId="0" fontId="0" fillId="8" borderId="0" xfId="0" applyFill="1" applyBorder="1" applyAlignment="1"/>
    <xf numFmtId="0" fontId="0" fillId="8" borderId="28" xfId="0" applyFill="1" applyBorder="1" applyAlignment="1"/>
    <xf numFmtId="0" fontId="11" fillId="8" borderId="0" xfId="0" applyFont="1" applyFill="1" applyBorder="1" applyAlignment="1">
      <alignment vertical="center"/>
    </xf>
    <xf numFmtId="0" fontId="0" fillId="8" borderId="28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0" fillId="8" borderId="30" xfId="0" applyFill="1" applyBorder="1" applyAlignment="1"/>
    <xf numFmtId="0" fontId="0" fillId="8" borderId="29" xfId="0" applyFill="1" applyBorder="1" applyAlignment="1"/>
    <xf numFmtId="0" fontId="0" fillId="8" borderId="34" xfId="0" applyFill="1" applyBorder="1"/>
    <xf numFmtId="0" fontId="0" fillId="8" borderId="34" xfId="0" applyFill="1" applyBorder="1" applyAlignment="1">
      <alignment vertical="center"/>
    </xf>
    <xf numFmtId="0" fontId="0" fillId="8" borderId="33" xfId="0" applyFill="1" applyBorder="1"/>
    <xf numFmtId="0" fontId="22" fillId="16" borderId="28" xfId="14" applyFont="1" applyBorder="1" applyAlignment="1" applyProtection="1">
      <alignment horizontal="center" vertical="center"/>
      <protection locked="0"/>
    </xf>
    <xf numFmtId="0" fontId="27" fillId="0" borderId="0" xfId="13" applyFont="1"/>
    <xf numFmtId="49" fontId="28" fillId="5" borderId="6" xfId="8" applyNumberFormat="1" applyFont="1"/>
    <xf numFmtId="0" fontId="26" fillId="17" borderId="35" xfId="15" applyFont="1"/>
    <xf numFmtId="0" fontId="29" fillId="3" borderId="3" xfId="4" applyFont="1"/>
    <xf numFmtId="0" fontId="29" fillId="3" borderId="3" xfId="4" applyFont="1" applyAlignment="1">
      <alignment horizontal="center"/>
    </xf>
    <xf numFmtId="0" fontId="30" fillId="4" borderId="3" xfId="6" applyFont="1"/>
    <xf numFmtId="49" fontId="29" fillId="3" borderId="3" xfId="4" applyNumberFormat="1" applyFont="1"/>
    <xf numFmtId="14" fontId="30" fillId="4" borderId="3" xfId="6" applyNumberFormat="1" applyFont="1"/>
    <xf numFmtId="0" fontId="28" fillId="17" borderId="35" xfId="15" applyFont="1"/>
    <xf numFmtId="14" fontId="31" fillId="18" borderId="3" xfId="4" applyNumberFormat="1" applyFont="1" applyFill="1" applyBorder="1"/>
    <xf numFmtId="14" fontId="30" fillId="4" borderId="3" xfId="6" applyNumberFormat="1" applyFont="1" applyAlignment="1">
      <alignment horizontal="center"/>
    </xf>
    <xf numFmtId="43" fontId="5" fillId="3" borderId="3" xfId="4" applyNumberFormat="1"/>
    <xf numFmtId="0" fontId="16" fillId="8" borderId="8" xfId="13" applyFill="1" applyBorder="1"/>
    <xf numFmtId="0" fontId="32" fillId="8" borderId="8" xfId="13" applyFont="1" applyFill="1" applyBorder="1"/>
    <xf numFmtId="49" fontId="0" fillId="0" borderId="0" xfId="0" applyNumberFormat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28" fillId="5" borderId="6" xfId="8" applyFont="1" applyAlignment="1">
      <alignment vertical="center"/>
    </xf>
    <xf numFmtId="0" fontId="26" fillId="6" borderId="8" xfId="10" applyFont="1" applyBorder="1" applyAlignment="1">
      <alignment vertical="center"/>
    </xf>
    <xf numFmtId="0" fontId="33" fillId="2" borderId="0" xfId="3" applyFont="1" applyAlignment="1">
      <alignment horizontal="center" vertical="center"/>
    </xf>
    <xf numFmtId="0" fontId="29" fillId="3" borderId="3" xfId="4" applyFont="1" applyAlignment="1">
      <alignment vertical="center"/>
    </xf>
    <xf numFmtId="14" fontId="29" fillId="3" borderId="3" xfId="4" applyNumberFormat="1" applyFont="1" applyAlignment="1">
      <alignment vertical="center"/>
    </xf>
    <xf numFmtId="14" fontId="30" fillId="4" borderId="3" xfId="6" applyNumberFormat="1" applyFont="1" applyAlignment="1">
      <alignment horizontal="center" vertical="center"/>
    </xf>
    <xf numFmtId="0" fontId="30" fillId="4" borderId="3" xfId="6" applyFont="1" applyAlignment="1">
      <alignment horizontal="center" vertical="center"/>
    </xf>
    <xf numFmtId="43" fontId="34" fillId="4" borderId="7" xfId="9" applyNumberFormat="1" applyFont="1" applyFill="1" applyAlignment="1">
      <alignment vertical="center"/>
    </xf>
    <xf numFmtId="0" fontId="26" fillId="7" borderId="8" xfId="11" applyFont="1" applyBorder="1" applyAlignment="1">
      <alignment vertical="center"/>
    </xf>
    <xf numFmtId="0" fontId="27" fillId="8" borderId="8" xfId="13" applyFont="1" applyFill="1" applyBorder="1" applyAlignment="1">
      <alignment horizontal="center" vertical="center"/>
    </xf>
    <xf numFmtId="0" fontId="33" fillId="2" borderId="0" xfId="3" applyNumberFormat="1" applyFont="1" applyAlignment="1">
      <alignment horizontal="center" vertical="center"/>
    </xf>
    <xf numFmtId="49" fontId="28" fillId="5" borderId="6" xfId="8" applyNumberFormat="1" applyFont="1" applyAlignment="1">
      <alignment vertical="center"/>
    </xf>
    <xf numFmtId="49" fontId="9" fillId="5" borderId="6" xfId="8" applyNumberFormat="1"/>
    <xf numFmtId="0" fontId="0" fillId="8" borderId="28" xfId="0" applyFill="1" applyBorder="1"/>
    <xf numFmtId="0" fontId="5" fillId="3" borderId="3" xfId="4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3" fontId="0" fillId="0" borderId="0" xfId="0" applyNumberFormat="1"/>
    <xf numFmtId="2" fontId="0" fillId="0" borderId="0" xfId="0" applyNumberFormat="1"/>
    <xf numFmtId="0" fontId="37" fillId="4" borderId="3" xfId="5" applyFont="1" applyBorder="1" applyAlignment="1">
      <alignment vertical="center"/>
    </xf>
    <xf numFmtId="0" fontId="21" fillId="19" borderId="6" xfId="16" applyBorder="1" applyAlignment="1">
      <alignment horizontal="right" vertical="center"/>
    </xf>
    <xf numFmtId="49" fontId="21" fillId="19" borderId="6" xfId="16" applyNumberFormat="1" applyBorder="1" applyAlignment="1">
      <alignment horizontal="right" vertical="center"/>
    </xf>
    <xf numFmtId="0" fontId="21" fillId="19" borderId="6" xfId="16" applyNumberFormat="1" applyBorder="1" applyAlignment="1">
      <alignment horizontal="right" vertical="center"/>
    </xf>
    <xf numFmtId="0" fontId="6" fillId="4" borderId="3" xfId="5" applyBorder="1" applyAlignment="1">
      <alignment horizontal="left" vertical="center"/>
    </xf>
    <xf numFmtId="0" fontId="9" fillId="5" borderId="6" xfId="8" applyAlignment="1">
      <alignment horizontal="right" vertical="center"/>
    </xf>
    <xf numFmtId="14" fontId="9" fillId="5" borderId="6" xfId="8" applyNumberFormat="1" applyAlignment="1">
      <alignment horizontal="right" vertical="center"/>
    </xf>
    <xf numFmtId="49" fontId="9" fillId="5" borderId="6" xfId="8" applyNumberFormat="1" applyAlignment="1">
      <alignment horizontal="right" vertical="center" wrapText="1"/>
    </xf>
    <xf numFmtId="49" fontId="9" fillId="5" borderId="6" xfId="8" applyNumberFormat="1" applyAlignment="1">
      <alignment horizontal="right" vertical="center"/>
    </xf>
    <xf numFmtId="0" fontId="7" fillId="4" borderId="8" xfId="6" applyFont="1" applyBorder="1" applyAlignment="1">
      <alignment horizontal="right" vertical="center"/>
    </xf>
    <xf numFmtId="0" fontId="38" fillId="19" borderId="6" xfId="16" applyFont="1" applyBorder="1" applyAlignment="1">
      <alignment vertical="center"/>
    </xf>
    <xf numFmtId="0" fontId="28" fillId="5" borderId="6" xfId="8" applyFont="1" applyAlignment="1">
      <alignment horizontal="left" vertical="center"/>
    </xf>
    <xf numFmtId="49" fontId="28" fillId="5" borderId="6" xfId="8" applyNumberFormat="1" applyFont="1" applyAlignment="1">
      <alignment horizontal="left" vertical="center"/>
    </xf>
    <xf numFmtId="0" fontId="33" fillId="2" borderId="8" xfId="3" applyFont="1" applyBorder="1" applyAlignment="1">
      <alignment horizontal="left" vertical="center"/>
    </xf>
    <xf numFmtId="0" fontId="33" fillId="2" borderId="4" xfId="3" applyFont="1" applyBorder="1" applyAlignment="1">
      <alignment horizontal="left" vertical="center"/>
    </xf>
    <xf numFmtId="0" fontId="33" fillId="2" borderId="3" xfId="3" applyFont="1" applyBorder="1" applyAlignment="1">
      <alignment horizontal="left" vertical="center"/>
    </xf>
    <xf numFmtId="0" fontId="38" fillId="19" borderId="0" xfId="16" applyFont="1" applyAlignment="1">
      <alignment horizontal="left" vertical="top"/>
    </xf>
    <xf numFmtId="0" fontId="33" fillId="2" borderId="8" xfId="3" applyFont="1" applyBorder="1" applyAlignment="1">
      <alignment vertical="center"/>
    </xf>
    <xf numFmtId="0" fontId="33" fillId="2" borderId="37" xfId="3" applyFont="1" applyBorder="1" applyAlignment="1">
      <alignment vertical="center"/>
    </xf>
    <xf numFmtId="0" fontId="33" fillId="2" borderId="4" xfId="3" applyFont="1" applyBorder="1" applyAlignment="1">
      <alignment vertical="center"/>
    </xf>
    <xf numFmtId="0" fontId="33" fillId="2" borderId="3" xfId="3" applyFont="1" applyBorder="1" applyAlignment="1">
      <alignment vertical="center"/>
    </xf>
    <xf numFmtId="0" fontId="33" fillId="2" borderId="37" xfId="3" applyFont="1" applyBorder="1" applyAlignment="1">
      <alignment horizontal="left" vertical="center"/>
    </xf>
    <xf numFmtId="0" fontId="38" fillId="19" borderId="6" xfId="16" applyFont="1" applyBorder="1" applyAlignment="1">
      <alignment horizontal="left" vertical="center"/>
    </xf>
    <xf numFmtId="0" fontId="35" fillId="4" borderId="3" xfId="5" applyFont="1" applyBorder="1" applyAlignment="1">
      <alignment horizontal="left" vertical="center"/>
    </xf>
    <xf numFmtId="14" fontId="7" fillId="4" borderId="38" xfId="6" applyNumberFormat="1" applyFont="1" applyBorder="1" applyAlignment="1">
      <alignment horizontal="right" vertical="center"/>
    </xf>
    <xf numFmtId="43" fontId="8" fillId="4" borderId="5" xfId="7" applyNumberFormat="1" applyFill="1" applyAlignment="1">
      <alignment horizontal="right" vertical="center"/>
    </xf>
    <xf numFmtId="14" fontId="8" fillId="4" borderId="5" xfId="7" applyNumberFormat="1" applyFill="1" applyAlignment="1">
      <alignment horizontal="right" vertical="center"/>
    </xf>
    <xf numFmtId="0" fontId="0" fillId="0" borderId="0" xfId="0" applyAlignment="1"/>
    <xf numFmtId="0" fontId="33" fillId="2" borderId="0" xfId="3" applyFont="1" applyBorder="1" applyAlignment="1">
      <alignment horizontal="left" vertical="center"/>
    </xf>
    <xf numFmtId="0" fontId="41" fillId="8" borderId="0" xfId="17" applyFill="1" applyBorder="1" applyAlignment="1">
      <alignment horizontal="left" vertical="center"/>
    </xf>
    <xf numFmtId="0" fontId="41" fillId="8" borderId="0" xfId="17" applyFill="1" applyAlignment="1">
      <alignment horizontal="right"/>
    </xf>
    <xf numFmtId="14" fontId="7" fillId="4" borderId="39" xfId="6" applyNumberFormat="1" applyFont="1" applyBorder="1" applyAlignment="1">
      <alignment horizontal="right" vertical="center"/>
    </xf>
    <xf numFmtId="0" fontId="4" fillId="2" borderId="39" xfId="3" applyBorder="1" applyAlignment="1">
      <alignment horizontal="right" vertical="center"/>
    </xf>
    <xf numFmtId="0" fontId="4" fillId="2" borderId="4" xfId="3" applyNumberFormat="1" applyBorder="1" applyAlignment="1">
      <alignment horizontal="right" vertical="center"/>
    </xf>
    <xf numFmtId="0" fontId="4" fillId="2" borderId="0" xfId="3" applyBorder="1" applyAlignment="1">
      <alignment horizontal="right" vertical="center"/>
    </xf>
    <xf numFmtId="0" fontId="4" fillId="2" borderId="4" xfId="3" applyBorder="1" applyAlignment="1">
      <alignment horizontal="right" vertical="center"/>
    </xf>
    <xf numFmtId="0" fontId="4" fillId="2" borderId="41" xfId="3" applyNumberFormat="1" applyBorder="1" applyAlignment="1">
      <alignment horizontal="right" vertical="center"/>
    </xf>
    <xf numFmtId="0" fontId="4" fillId="2" borderId="40" xfId="3" applyNumberFormat="1" applyBorder="1" applyAlignment="1">
      <alignment horizontal="right" vertical="center"/>
    </xf>
    <xf numFmtId="0" fontId="6" fillId="4" borderId="0" xfId="5" applyFont="1" applyBorder="1" applyAlignment="1">
      <alignment horizontal="left" vertical="center" wrapText="1"/>
    </xf>
    <xf numFmtId="43" fontId="8" fillId="8" borderId="5" xfId="7" applyNumberFormat="1" applyFill="1" applyAlignment="1">
      <alignment horizontal="right" vertical="center"/>
    </xf>
    <xf numFmtId="14" fontId="8" fillId="8" borderId="5" xfId="7" applyNumberFormat="1" applyFill="1" applyAlignment="1">
      <alignment horizontal="right" vertical="center"/>
    </xf>
    <xf numFmtId="0" fontId="23" fillId="8" borderId="42" xfId="1" applyFont="1" applyFill="1" applyBorder="1" applyAlignment="1">
      <alignment horizontal="center" vertical="center"/>
    </xf>
    <xf numFmtId="0" fontId="42" fillId="8" borderId="0" xfId="0" applyFont="1" applyFill="1" applyBorder="1" applyAlignment="1"/>
    <xf numFmtId="43" fontId="9" fillId="5" borderId="6" xfId="18" applyFont="1" applyFill="1" applyBorder="1" applyAlignment="1">
      <alignment horizontal="right" vertical="center"/>
    </xf>
    <xf numFmtId="43" fontId="10" fillId="4" borderId="8" xfId="18" applyFont="1" applyFill="1" applyBorder="1" applyAlignment="1">
      <alignment horizontal="right" vertical="center"/>
    </xf>
    <xf numFmtId="43" fontId="8" fillId="4" borderId="5" xfId="18" applyFont="1" applyFill="1" applyBorder="1" applyAlignment="1">
      <alignment horizontal="right" vertical="center"/>
    </xf>
    <xf numFmtId="43" fontId="8" fillId="8" borderId="5" xfId="18" applyFont="1" applyFill="1" applyBorder="1" applyAlignment="1">
      <alignment horizontal="right" vertical="center"/>
    </xf>
    <xf numFmtId="0" fontId="23" fillId="8" borderId="32" xfId="1" applyFont="1" applyFill="1" applyBorder="1" applyAlignment="1">
      <alignment horizontal="center" vertical="center"/>
    </xf>
    <xf numFmtId="0" fontId="23" fillId="8" borderId="31" xfId="1" applyFont="1" applyFill="1" applyBorder="1" applyAlignment="1">
      <alignment horizontal="center" vertical="center"/>
    </xf>
    <xf numFmtId="0" fontId="36" fillId="8" borderId="0" xfId="0" applyFont="1" applyFill="1" applyBorder="1" applyAlignment="1">
      <alignment horizontal="center" vertical="center"/>
    </xf>
    <xf numFmtId="0" fontId="36" fillId="8" borderId="2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9" borderId="9" xfId="0" applyFont="1" applyFill="1" applyBorder="1" applyAlignment="1">
      <alignment horizontal="center"/>
    </xf>
    <xf numFmtId="0" fontId="9" fillId="9" borderId="10" xfId="0" applyFont="1" applyFill="1" applyBorder="1" applyAlignment="1">
      <alignment horizontal="center"/>
    </xf>
    <xf numFmtId="0" fontId="9" fillId="9" borderId="11" xfId="0" applyFont="1" applyFill="1" applyBorder="1" applyAlignment="1">
      <alignment horizontal="center"/>
    </xf>
    <xf numFmtId="0" fontId="9" fillId="10" borderId="12" xfId="0" applyFont="1" applyFill="1" applyBorder="1" applyAlignment="1">
      <alignment horizontal="center" vertical="center" wrapText="1"/>
    </xf>
    <xf numFmtId="0" fontId="9" fillId="10" borderId="16" xfId="0" applyFont="1" applyFill="1" applyBorder="1" applyAlignment="1">
      <alignment horizontal="center" vertical="center" wrapText="1"/>
    </xf>
    <xf numFmtId="0" fontId="9" fillId="11" borderId="13" xfId="0" applyFont="1" applyFill="1" applyBorder="1" applyAlignment="1">
      <alignment horizontal="center" vertical="center" wrapText="1"/>
    </xf>
    <xf numFmtId="0" fontId="9" fillId="11" borderId="14" xfId="0" applyFont="1" applyFill="1" applyBorder="1" applyAlignment="1">
      <alignment horizontal="center" vertical="center" wrapText="1"/>
    </xf>
    <xf numFmtId="0" fontId="9" fillId="14" borderId="24" xfId="0" applyFont="1" applyFill="1" applyBorder="1" applyAlignment="1">
      <alignment horizontal="center"/>
    </xf>
    <xf numFmtId="0" fontId="9" fillId="14" borderId="25" xfId="0" applyFont="1" applyFill="1" applyBorder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26" fillId="0" borderId="36" xfId="0" applyFont="1" applyBorder="1" applyAlignment="1">
      <alignment horizontal="center"/>
    </xf>
  </cellXfs>
  <cellStyles count="19">
    <cellStyle name="60% - Ênfase2" xfId="10" builtinId="36"/>
    <cellStyle name="60% - Ênfase5" xfId="11" builtinId="48"/>
    <cellStyle name="Cálculo" xfId="6" builtinId="22"/>
    <cellStyle name="Célula de Verificação" xfId="8" builtinId="23"/>
    <cellStyle name="Célula Vinculada" xfId="7" builtinId="24"/>
    <cellStyle name="Ênfase1" xfId="16" builtinId="29"/>
    <cellStyle name="Ênfase2" xfId="14" builtinId="33"/>
    <cellStyle name="Entrada" xfId="4" builtinId="20"/>
    <cellStyle name="Neutro" xfId="3" builtinId="28"/>
    <cellStyle name="Normal" xfId="0" builtinId="0"/>
    <cellStyle name="Nota" xfId="15" builtinId="10"/>
    <cellStyle name="Saída" xfId="5" builtinId="21"/>
    <cellStyle name="Texto de Aviso" xfId="13" builtinId="11"/>
    <cellStyle name="Texto Explicativo" xfId="17" builtinId="53"/>
    <cellStyle name="Título 1" xfId="1" builtinId="16"/>
    <cellStyle name="Título 3" xfId="2" builtinId="18"/>
    <cellStyle name="Total" xfId="9" builtinId="25"/>
    <cellStyle name="Vírgula" xfId="18" builtinId="3"/>
    <cellStyle name="Vírgula 2" xfId="12" xr:uid="{00000000-0005-0000-0000-00000E000000}"/>
  </cellStyles>
  <dxfs count="30"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9</xdr:row>
          <xdr:rowOff>76200</xdr:rowOff>
        </xdr:from>
        <xdr:to>
          <xdr:col>1</xdr:col>
          <xdr:colOff>3028950</xdr:colOff>
          <xdr:row>9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</xdr:row>
          <xdr:rowOff>180975</xdr:rowOff>
        </xdr:from>
        <xdr:to>
          <xdr:col>2</xdr:col>
          <xdr:colOff>1752600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LIMPAR 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1876425</xdr:colOff>
          <xdr:row>1</xdr:row>
          <xdr:rowOff>171450</xdr:rowOff>
        </xdr:from>
        <xdr:to>
          <xdr:col>2</xdr:col>
          <xdr:colOff>3495675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LIMPAR 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1885950</xdr:colOff>
          <xdr:row>3</xdr:row>
          <xdr:rowOff>180975</xdr:rowOff>
        </xdr:from>
        <xdr:to>
          <xdr:col>2</xdr:col>
          <xdr:colOff>3476625</xdr:colOff>
          <xdr:row>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180975</xdr:rowOff>
        </xdr:from>
        <xdr:to>
          <xdr:col>2</xdr:col>
          <xdr:colOff>1752600</xdr:colOff>
          <xdr:row>5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LIMPAR ITCD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6</xdr:row>
          <xdr:rowOff>114300</xdr:rowOff>
        </xdr:from>
        <xdr:to>
          <xdr:col>2</xdr:col>
          <xdr:colOff>1743075</xdr:colOff>
          <xdr:row>9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MARCAR D.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5</xdr:row>
          <xdr:rowOff>152400</xdr:rowOff>
        </xdr:from>
        <xdr:to>
          <xdr:col>0</xdr:col>
          <xdr:colOff>1638300</xdr:colOff>
          <xdr:row>8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Bookman Old Style"/>
                </a:rPr>
                <a:t>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5</xdr:row>
          <xdr:rowOff>152400</xdr:rowOff>
        </xdr:from>
        <xdr:to>
          <xdr:col>1</xdr:col>
          <xdr:colOff>1295400</xdr:colOff>
          <xdr:row>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Bookman Old Style"/>
                </a:rPr>
                <a:t>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5</xdr:row>
          <xdr:rowOff>152400</xdr:rowOff>
        </xdr:from>
        <xdr:to>
          <xdr:col>1</xdr:col>
          <xdr:colOff>2657475</xdr:colOff>
          <xdr:row>8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8000"/>
                  </a:solidFill>
                  <a:latin typeface="Bookman Old Style"/>
                </a:rPr>
                <a:t>ITCD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2781300</xdr:colOff>
          <xdr:row>5</xdr:row>
          <xdr:rowOff>152400</xdr:rowOff>
        </xdr:from>
        <xdr:to>
          <xdr:col>1</xdr:col>
          <xdr:colOff>4010025</xdr:colOff>
          <xdr:row>8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Bookman Old Style"/>
                </a:rPr>
                <a:t>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4143375</xdr:colOff>
          <xdr:row>5</xdr:row>
          <xdr:rowOff>152400</xdr:rowOff>
        </xdr:from>
        <xdr:to>
          <xdr:col>1</xdr:col>
          <xdr:colOff>5372100</xdr:colOff>
          <xdr:row>8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800080"/>
                  </a:solidFill>
                  <a:latin typeface="Bookman Old Style"/>
                </a:rPr>
                <a:t>MARCAR D.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23</xdr:row>
          <xdr:rowOff>38100</xdr:rowOff>
        </xdr:from>
        <xdr:to>
          <xdr:col>0</xdr:col>
          <xdr:colOff>952500</xdr:colOff>
          <xdr:row>25</xdr:row>
          <xdr:rowOff>133350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4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1047750</xdr:colOff>
          <xdr:row>23</xdr:row>
          <xdr:rowOff>38100</xdr:rowOff>
        </xdr:from>
        <xdr:to>
          <xdr:col>0</xdr:col>
          <xdr:colOff>1962150</xdr:colOff>
          <xdr:row>25</xdr:row>
          <xdr:rowOff>133350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4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27</xdr:row>
          <xdr:rowOff>47625</xdr:rowOff>
        </xdr:from>
        <xdr:to>
          <xdr:col>0</xdr:col>
          <xdr:colOff>952500</xdr:colOff>
          <xdr:row>29</xdr:row>
          <xdr:rowOff>142875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5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1047750</xdr:colOff>
          <xdr:row>27</xdr:row>
          <xdr:rowOff>47625</xdr:rowOff>
        </xdr:from>
        <xdr:to>
          <xdr:col>0</xdr:col>
          <xdr:colOff>1962150</xdr:colOff>
          <xdr:row>29</xdr:row>
          <xdr:rowOff>142875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5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24</xdr:row>
          <xdr:rowOff>47625</xdr:rowOff>
        </xdr:from>
        <xdr:to>
          <xdr:col>0</xdr:col>
          <xdr:colOff>942975</xdr:colOff>
          <xdr:row>26</xdr:row>
          <xdr:rowOff>142875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6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1038225</xdr:colOff>
          <xdr:row>24</xdr:row>
          <xdr:rowOff>47625</xdr:rowOff>
        </xdr:from>
        <xdr:to>
          <xdr:col>0</xdr:col>
          <xdr:colOff>1952625</xdr:colOff>
          <xdr:row>26</xdr:row>
          <xdr:rowOff>142875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6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26</xdr:row>
          <xdr:rowOff>47625</xdr:rowOff>
        </xdr:from>
        <xdr:to>
          <xdr:col>0</xdr:col>
          <xdr:colOff>962025</xdr:colOff>
          <xdr:row>28</xdr:row>
          <xdr:rowOff>142875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1057275</xdr:colOff>
          <xdr:row>26</xdr:row>
          <xdr:rowOff>47625</xdr:rowOff>
        </xdr:from>
        <xdr:to>
          <xdr:col>0</xdr:col>
          <xdr:colOff>1971675</xdr:colOff>
          <xdr:row>28</xdr:row>
          <xdr:rowOff>142875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7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19050</xdr:rowOff>
    </xdr:from>
    <xdr:to>
      <xdr:col>1</xdr:col>
      <xdr:colOff>264279</xdr:colOff>
      <xdr:row>1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0"/>
          <a:ext cx="264279" cy="171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AFC9F3-D622-4854-9CF0-B02B50260691}" name="Tabela2" displayName="Tabela2" ref="A1:B247" totalsRowShown="0">
  <autoFilter ref="A1:B247" xr:uid="{1F4A87E2-9126-403E-BF11-0196F539A120}"/>
  <tableColumns count="2">
    <tableColumn id="1" xr3:uid="{DD1F7D91-6AE8-4726-BAF8-107711618699}" name="Código"/>
    <tableColumn id="2" xr3:uid="{99BEAFA3-DFF4-4163-8DD4-DC44E54EF182}" name="Nome do municípi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4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J10"/>
  <sheetViews>
    <sheetView tabSelected="1" zoomScaleNormal="100" workbookViewId="0">
      <selection activeCell="B10" sqref="B10"/>
    </sheetView>
  </sheetViews>
  <sheetFormatPr defaultRowHeight="15" x14ac:dyDescent="0.25"/>
  <cols>
    <col min="1" max="1" width="25.42578125" style="45" customWidth="1"/>
    <col min="2" max="2" width="86.85546875" style="45" bestFit="1" customWidth="1"/>
    <col min="3" max="3" width="53.85546875" style="45" customWidth="1"/>
    <col min="4" max="10" width="9.140625" style="45"/>
  </cols>
  <sheetData>
    <row r="1" spans="1:10" ht="40.5" customHeight="1" x14ac:dyDescent="0.25">
      <c r="A1" s="141" t="s">
        <v>345</v>
      </c>
      <c r="B1" s="142"/>
      <c r="C1" s="135" t="s">
        <v>346</v>
      </c>
    </row>
    <row r="2" spans="1:10" s="51" customFormat="1" ht="33.75" customHeight="1" x14ac:dyDescent="0.25">
      <c r="A2" s="48" t="s">
        <v>26</v>
      </c>
      <c r="B2" s="49"/>
      <c r="C2" s="55"/>
      <c r="D2" s="50"/>
      <c r="E2" s="50"/>
      <c r="F2" s="50"/>
      <c r="G2" s="50"/>
      <c r="H2" s="50"/>
      <c r="I2" s="50"/>
      <c r="J2" s="50"/>
    </row>
    <row r="3" spans="1:10" ht="18.75" x14ac:dyDescent="0.3">
      <c r="A3" s="136" t="s">
        <v>27</v>
      </c>
      <c r="B3" s="57" t="s">
        <v>332</v>
      </c>
      <c r="C3" s="54"/>
    </row>
    <row r="4" spans="1:10" x14ac:dyDescent="0.25">
      <c r="A4" s="46"/>
      <c r="B4" s="47"/>
      <c r="C4" s="54"/>
    </row>
    <row r="5" spans="1:10" ht="21" x14ac:dyDescent="0.25">
      <c r="A5" s="143" t="s">
        <v>339</v>
      </c>
      <c r="B5" s="144"/>
      <c r="C5" s="54"/>
    </row>
    <row r="6" spans="1:10" x14ac:dyDescent="0.25">
      <c r="A6" s="46"/>
      <c r="B6" s="47"/>
      <c r="C6" s="88"/>
    </row>
    <row r="7" spans="1:10" x14ac:dyDescent="0.25">
      <c r="A7" s="46"/>
      <c r="B7" s="47"/>
      <c r="C7" s="54"/>
    </row>
    <row r="8" spans="1:10" x14ac:dyDescent="0.25">
      <c r="A8" s="46"/>
      <c r="B8" s="47"/>
      <c r="C8" s="54"/>
    </row>
    <row r="9" spans="1:10" x14ac:dyDescent="0.25">
      <c r="A9" s="46"/>
      <c r="B9" s="47"/>
      <c r="C9" s="54"/>
    </row>
    <row r="10" spans="1:10" ht="57.75" customHeight="1" x14ac:dyDescent="0.25">
      <c r="A10" s="52"/>
      <c r="B10" s="53"/>
      <c r="C10" s="56"/>
    </row>
  </sheetData>
  <mergeCells count="2">
    <mergeCell ref="A1:B1"/>
    <mergeCell ref="A5:B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Exportacao_EmLote">
                <anchor moveWithCells="1" sizeWithCells="1">
                  <from>
                    <xdr:col>1</xdr:col>
                    <xdr:colOff>781050</xdr:colOff>
                    <xdr:row>9</xdr:row>
                    <xdr:rowOff>76200</xdr:rowOff>
                  </from>
                  <to>
                    <xdr:col>1</xdr:col>
                    <xdr:colOff>3028950</xdr:colOff>
                    <xdr:row>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ao_Limpar_FIANCA">
                <anchor moveWithCells="1" sizeWithCells="1">
                  <from>
                    <xdr:col>2</xdr:col>
                    <xdr:colOff>133350</xdr:colOff>
                    <xdr:row>1</xdr:row>
                    <xdr:rowOff>180975</xdr:rowOff>
                  </from>
                  <to>
                    <xdr:col>2</xdr:col>
                    <xdr:colOff>1752600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ao_Limpar_IPVA">
                <anchor moveWithCells="1" sizeWithCells="1">
                  <from>
                    <xdr:col>2</xdr:col>
                    <xdr:colOff>1876425</xdr:colOff>
                    <xdr:row>1</xdr:row>
                    <xdr:rowOff>171450</xdr:rowOff>
                  </from>
                  <to>
                    <xdr:col>2</xdr:col>
                    <xdr:colOff>3495675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ao_Limpar_ICMS">
                <anchor moveWithCells="1" sizeWithCells="1">
                  <from>
                    <xdr:col>2</xdr:col>
                    <xdr:colOff>1885950</xdr:colOff>
                    <xdr:row>3</xdr:row>
                    <xdr:rowOff>180975</xdr:rowOff>
                  </from>
                  <to>
                    <xdr:col>2</xdr:col>
                    <xdr:colOff>3476625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otao_Limpar_ITCD">
                <anchor moveWithCells="1" sizeWithCells="1">
                  <from>
                    <xdr:col>2</xdr:col>
                    <xdr:colOff>152400</xdr:colOff>
                    <xdr:row>3</xdr:row>
                    <xdr:rowOff>180975</xdr:rowOff>
                  </from>
                  <to>
                    <xdr:col>2</xdr:col>
                    <xdr:colOff>1752600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otao_Limpar_Marcar_Dare">
                <anchor moveWithCells="1" sizeWithCells="1">
                  <from>
                    <xdr:col>2</xdr:col>
                    <xdr:colOff>171450</xdr:colOff>
                    <xdr:row>6</xdr:row>
                    <xdr:rowOff>114300</xdr:rowOff>
                  </from>
                  <to>
                    <xdr:col>2</xdr:col>
                    <xdr:colOff>1743075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Módulo2.Ir_Para_Fianca">
                <anchor moveWithCells="1" sizeWithCells="1">
                  <from>
                    <xdr:col>0</xdr:col>
                    <xdr:colOff>409575</xdr:colOff>
                    <xdr:row>5</xdr:row>
                    <xdr:rowOff>152400</xdr:rowOff>
                  </from>
                  <to>
                    <xdr:col>0</xdr:col>
                    <xdr:colOff>1638300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Ir_Para_IPVA">
                <anchor moveWithCells="1" sizeWithCells="1">
                  <from>
                    <xdr:col>1</xdr:col>
                    <xdr:colOff>66675</xdr:colOff>
                    <xdr:row>5</xdr:row>
                    <xdr:rowOff>152400</xdr:rowOff>
                  </from>
                  <to>
                    <xdr:col>1</xdr:col>
                    <xdr:colOff>1295400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Ir_Para_ITCD">
                <anchor moveWithCells="1" sizeWithCells="1">
                  <from>
                    <xdr:col>1</xdr:col>
                    <xdr:colOff>1428750</xdr:colOff>
                    <xdr:row>5</xdr:row>
                    <xdr:rowOff>152400</xdr:rowOff>
                  </from>
                  <to>
                    <xdr:col>1</xdr:col>
                    <xdr:colOff>2657475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Ir_Para_ICMS">
                <anchor moveWithCells="1" sizeWithCells="1">
                  <from>
                    <xdr:col>1</xdr:col>
                    <xdr:colOff>2781300</xdr:colOff>
                    <xdr:row>5</xdr:row>
                    <xdr:rowOff>152400</xdr:rowOff>
                  </from>
                  <to>
                    <xdr:col>1</xdr:col>
                    <xdr:colOff>4010025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Ir_Para_MARCAR_D">
                <anchor moveWithCells="1" sizeWithCells="1">
                  <from>
                    <xdr:col>1</xdr:col>
                    <xdr:colOff>4143375</xdr:colOff>
                    <xdr:row>5</xdr:row>
                    <xdr:rowOff>152400</xdr:rowOff>
                  </from>
                  <to>
                    <xdr:col>1</xdr:col>
                    <xdr:colOff>5372100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08F01-A3CD-4CE1-9F2F-635DBE1A14F2}">
  <sheetPr codeName="Planilha11"/>
  <dimension ref="A1:U3"/>
  <sheetViews>
    <sheetView workbookViewId="0">
      <selection activeCell="J2" sqref="J2"/>
    </sheetView>
  </sheetViews>
  <sheetFormatPr defaultRowHeight="16.5" thickTop="1" thickBottom="1" x14ac:dyDescent="0.3"/>
  <cols>
    <col min="1" max="1" width="22.140625" style="87" customWidth="1"/>
    <col min="2" max="2" width="24.42578125" style="21" bestFit="1" customWidth="1"/>
    <col min="3" max="3" width="23" style="87" customWidth="1"/>
    <col min="4" max="4" width="40" style="9" customWidth="1"/>
    <col min="5" max="5" width="22.5703125" style="9" bestFit="1" customWidth="1"/>
    <col min="6" max="6" width="19.5703125" style="6" bestFit="1" customWidth="1"/>
    <col min="7" max="7" width="17.28515625" style="7" customWidth="1"/>
    <col min="8" max="8" width="20.85546875" style="7" bestFit="1" customWidth="1"/>
    <col min="9" max="9" width="24.28515625" style="25" customWidth="1"/>
    <col min="10" max="10" width="30.140625" style="25" bestFit="1" customWidth="1"/>
    <col min="11" max="11" width="15.7109375" style="26" bestFit="1" customWidth="1"/>
    <col min="12" max="12" width="11.28515625" style="8" customWidth="1"/>
    <col min="13" max="13" width="9.85546875" style="8" customWidth="1"/>
    <col min="14" max="14" width="11.7109375" style="8" customWidth="1"/>
    <col min="15" max="15" width="11.7109375" style="70" customWidth="1"/>
    <col min="16" max="16" width="45.28515625" style="8" customWidth="1"/>
    <col min="17" max="17" width="30.7109375" style="8" customWidth="1"/>
    <col min="18" max="18" width="18.28515625" style="6" customWidth="1"/>
    <col min="19" max="19" width="56.85546875" style="24" customWidth="1"/>
    <col min="20" max="20" width="16.5703125" style="72" customWidth="1"/>
    <col min="21" max="21" width="16.42578125" style="72" bestFit="1" customWidth="1"/>
  </cols>
  <sheetData>
    <row r="1" spans="1:21" ht="17.25" thickTop="1" thickBot="1" x14ac:dyDescent="0.3">
      <c r="A1" s="87" t="s">
        <v>5</v>
      </c>
      <c r="B1" s="21" t="s">
        <v>292</v>
      </c>
      <c r="C1" s="87" t="s">
        <v>329</v>
      </c>
      <c r="D1" s="9" t="s">
        <v>4</v>
      </c>
      <c r="E1" s="23" t="s">
        <v>333</v>
      </c>
      <c r="F1" s="6" t="s">
        <v>319</v>
      </c>
      <c r="G1" s="89" t="s">
        <v>6</v>
      </c>
      <c r="H1" s="7" t="s">
        <v>8</v>
      </c>
      <c r="I1" s="25" t="s">
        <v>11</v>
      </c>
      <c r="J1" s="25" t="s">
        <v>21</v>
      </c>
      <c r="K1" s="26" t="s">
        <v>12</v>
      </c>
      <c r="L1" s="8" t="s">
        <v>0</v>
      </c>
      <c r="M1" s="8" t="s">
        <v>3</v>
      </c>
      <c r="N1" s="8" t="s">
        <v>1</v>
      </c>
      <c r="O1" s="71" t="s">
        <v>327</v>
      </c>
      <c r="P1" s="8" t="s">
        <v>7</v>
      </c>
      <c r="Q1" s="22" t="s">
        <v>22</v>
      </c>
      <c r="R1" s="6" t="s">
        <v>334</v>
      </c>
      <c r="S1" s="24" t="s">
        <v>2</v>
      </c>
      <c r="T1" s="64" t="s">
        <v>300</v>
      </c>
      <c r="U1" s="64" t="s">
        <v>299</v>
      </c>
    </row>
    <row r="2" spans="1:21" ht="151.5" thickTop="1" thickBot="1" x14ac:dyDescent="0.3">
      <c r="A2" s="86" t="s">
        <v>330</v>
      </c>
      <c r="B2" s="75" t="s">
        <v>293</v>
      </c>
      <c r="C2" s="86" t="s">
        <v>331</v>
      </c>
      <c r="D2" s="76" t="s">
        <v>9</v>
      </c>
      <c r="E2" s="76" t="s">
        <v>10</v>
      </c>
      <c r="F2" s="77" t="str">
        <f>IdentificarDocumento(E2)</f>
        <v>CPF</v>
      </c>
      <c r="G2" s="78">
        <v>1600</v>
      </c>
      <c r="H2" s="79">
        <v>45658</v>
      </c>
      <c r="I2" s="80">
        <f ca="1">TODAY()</f>
        <v>46128</v>
      </c>
      <c r="J2" s="81">
        <f ca="1">ROUND(G2*ObterFatorINPC(H2,EDATE(I2,-1))-G2, 2)</f>
        <v>93.47</v>
      </c>
      <c r="K2" s="82">
        <f ca="1">G2+J2</f>
        <v>1693.47</v>
      </c>
      <c r="L2" s="83"/>
      <c r="M2" s="83"/>
      <c r="N2" s="83"/>
      <c r="O2" s="84" t="s">
        <v>24</v>
      </c>
      <c r="P2" s="83" t="str">
        <f>IF($O2="NÃO",D2,"")</f>
        <v>JÚLIO CÉSAR SANTOS DE SOUZA</v>
      </c>
      <c r="Q2" s="83" t="str">
        <f>IF($O2="NÃO",E2,"")</f>
        <v>962.309.401-91</v>
      </c>
      <c r="R2" s="85" t="str">
        <f>IdentificarDocumento(Q2)</f>
        <v>CPF</v>
      </c>
      <c r="S2" s="27" t="str">
        <f ca="1">"Restituição de fiança-crime, conforme ordem judicial expedida e enviada à esta Secretaria para cumprimento, no bojo dos autos judiciais nº "&amp;B2&amp;CHAR(10)&amp;"Acusado: "&amp;D2&amp;"  "&amp;F2&amp;": "&amp;E2&amp;CHAR(10)&amp;"Beneficiário do Alvará: "&amp;P2&amp;"  "&amp;R2&amp;": "&amp;Q2&amp;CHAR(10)&amp;"DARE referência: "&amp;C2&amp;CHAR(10)&amp;"Valor autorizado a restituir: R$ "&amp;TEXT(G2,"#.##0,00")&amp;CHAR(10)&amp;" Valor atualizado Correção pelo INPC (IBGE): R$ "&amp;TEXT(K2,"#.##0,00")&amp;CHAR(10)&amp;"Processo SEI nº "&amp;A2</f>
        <v>Restituição de fiança-crime, conforme ordem judicial expedida e enviada à esta Secretaria para cumprimento, no bojo dos autos judiciais nº 5723847-45.2025.8.09.0019
Acusado: JÚLIO CÉSAR SANTOS DE SOUZA  CPF: 962.309.401-91
Beneficiário do Alvará: JÚLIO CÉSAR SANTOS DE SOUZA  CPF: 962.309.401-91
DARE referência: 12100002525201600
Valor autorizado a restituir: R$ 1.600,00
 Valor atualizado Correção pelo INPC (IBGE): R$ 1.693,47
Processo SEI nº 202500004102940</v>
      </c>
      <c r="T2" s="73" t="s">
        <v>328</v>
      </c>
      <c r="U2" s="74" t="s">
        <v>328</v>
      </c>
    </row>
    <row r="3" spans="1:21" thickTop="1" thickBot="1" x14ac:dyDescent="0.3">
      <c r="D3" s="23"/>
      <c r="Q3" s="22"/>
    </row>
  </sheetData>
  <conditionalFormatting sqref="R2 F2">
    <cfRule type="cellIs" dxfId="29" priority="1" operator="equal">
      <formula>FALSE</formula>
    </cfRule>
    <cfRule type="cellIs" dxfId="28" priority="2" operator="equal">
      <formula>"CNPJ"</formula>
    </cfRule>
    <cfRule type="cellIs" dxfId="27" priority="3" operator="equal">
      <formula>"CPF"</formula>
    </cfRule>
    <cfRule type="cellIs" dxfId="26" priority="5" operator="equal">
      <formula>"Placa"</formula>
    </cfRule>
    <cfRule type="cellIs" dxfId="25" priority="6" operator="equal">
      <formula>"Inscrição"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BE3F81-A0CA-432B-9D00-96DCD973A232}">
          <x14:formula1>
            <xm:f>Configurações!$K$2:$K$3</xm:f>
          </x14:formula1>
          <xm:sqref>O2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3D55-F863-45F8-BB46-9AAA79E85C38}">
  <sheetPr codeName="Planilha8"/>
  <dimension ref="A1:U2"/>
  <sheetViews>
    <sheetView workbookViewId="0">
      <selection activeCell="A2" sqref="A2:U2"/>
    </sheetView>
  </sheetViews>
  <sheetFormatPr defaultRowHeight="15" x14ac:dyDescent="0.25"/>
  <cols>
    <col min="1" max="1" width="15.42578125" customWidth="1"/>
    <col min="2" max="2" width="24.42578125" bestFit="1" customWidth="1"/>
    <col min="3" max="3" width="18.28515625" customWidth="1"/>
    <col min="4" max="4" width="40" customWidth="1"/>
    <col min="5" max="5" width="22.5703125" bestFit="1" customWidth="1"/>
    <col min="6" max="6" width="18.28515625" customWidth="1"/>
    <col min="7" max="7" width="17.28515625" customWidth="1"/>
    <col min="8" max="8" width="20.85546875" bestFit="1" customWidth="1"/>
    <col min="9" max="9" width="24.28515625" customWidth="1"/>
    <col min="10" max="10" width="30.140625" bestFit="1" customWidth="1"/>
    <col min="11" max="11" width="15.7109375" bestFit="1" customWidth="1"/>
    <col min="12" max="12" width="11.28515625" customWidth="1"/>
    <col min="13" max="13" width="9.85546875" customWidth="1"/>
    <col min="14" max="15" width="11.7109375" customWidth="1"/>
    <col min="16" max="16" width="45.28515625" customWidth="1"/>
    <col min="17" max="17" width="30.7109375" customWidth="1"/>
    <col min="18" max="18" width="18.28515625" customWidth="1"/>
    <col min="19" max="19" width="56.85546875" customWidth="1"/>
    <col min="20" max="20" width="16.5703125" customWidth="1"/>
    <col min="21" max="21" width="16.42578125" bestFit="1" customWidth="1"/>
    <col min="22" max="22" width="61.140625" customWidth="1"/>
  </cols>
  <sheetData>
    <row r="1" spans="1:21" x14ac:dyDescent="0.25">
      <c r="A1" t="s">
        <v>5</v>
      </c>
      <c r="B1" t="s">
        <v>292</v>
      </c>
      <c r="C1" t="s">
        <v>329</v>
      </c>
      <c r="D1" t="s">
        <v>4</v>
      </c>
      <c r="E1" t="s">
        <v>333</v>
      </c>
      <c r="F1" t="s">
        <v>319</v>
      </c>
      <c r="G1" t="s">
        <v>6</v>
      </c>
      <c r="H1" t="s">
        <v>8</v>
      </c>
      <c r="I1" t="s">
        <v>11</v>
      </c>
      <c r="J1" t="s">
        <v>21</v>
      </c>
      <c r="K1" t="s">
        <v>12</v>
      </c>
      <c r="L1" t="s">
        <v>0</v>
      </c>
      <c r="M1" t="s">
        <v>3</v>
      </c>
      <c r="N1" t="s">
        <v>1</v>
      </c>
      <c r="O1" t="s">
        <v>327</v>
      </c>
      <c r="P1" t="s">
        <v>7</v>
      </c>
      <c r="Q1" t="s">
        <v>22</v>
      </c>
      <c r="R1" t="s">
        <v>334</v>
      </c>
      <c r="S1" t="s">
        <v>2</v>
      </c>
      <c r="T1" s="72" t="s">
        <v>300</v>
      </c>
      <c r="U1" s="72" t="s">
        <v>299</v>
      </c>
    </row>
    <row r="2" spans="1:21" x14ac:dyDescent="0.25">
      <c r="A2">
        <v>123456</v>
      </c>
      <c r="F2" t="s">
        <v>311</v>
      </c>
      <c r="G2">
        <v>456.56</v>
      </c>
      <c r="H2" s="4">
        <v>45658</v>
      </c>
      <c r="I2" s="4">
        <v>46125</v>
      </c>
      <c r="J2">
        <v>26.67</v>
      </c>
      <c r="K2" s="92">
        <v>483.23</v>
      </c>
      <c r="O2" t="s">
        <v>24</v>
      </c>
      <c r="P2">
        <v>0</v>
      </c>
      <c r="Q2">
        <v>0</v>
      </c>
      <c r="R2" t="s">
        <v>311</v>
      </c>
      <c r="S2" t="s">
        <v>336</v>
      </c>
      <c r="T2" s="72" t="s">
        <v>328</v>
      </c>
      <c r="U2" s="72" t="s">
        <v>328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Y2"/>
  <sheetViews>
    <sheetView workbookViewId="0">
      <selection activeCell="A2" sqref="A2:Y2"/>
    </sheetView>
  </sheetViews>
  <sheetFormatPr defaultRowHeight="15" x14ac:dyDescent="0.25"/>
  <cols>
    <col min="1" max="1" width="35.85546875" bestFit="1" customWidth="1"/>
    <col min="2" max="2" width="15.42578125" customWidth="1"/>
    <col min="3" max="3" width="21.5703125" bestFit="1" customWidth="1"/>
    <col min="4" max="5" width="18.28515625" customWidth="1"/>
    <col min="6" max="6" width="40" customWidth="1"/>
    <col min="7" max="7" width="24.140625" bestFit="1" customWidth="1"/>
    <col min="8" max="8" width="19.5703125" bestFit="1" customWidth="1"/>
    <col min="9" max="9" width="21.5703125" customWidth="1"/>
    <col min="10" max="10" width="17.28515625" customWidth="1"/>
    <col min="11" max="11" width="20.85546875" bestFit="1" customWidth="1"/>
    <col min="12" max="12" width="24.28515625" customWidth="1"/>
    <col min="13" max="13" width="30.140625" bestFit="1" customWidth="1"/>
    <col min="14" max="14" width="15.7109375" bestFit="1" customWidth="1"/>
    <col min="15" max="15" width="11.28515625" customWidth="1"/>
    <col min="16" max="16" width="9.85546875" customWidth="1"/>
    <col min="17" max="18" width="11.7109375" customWidth="1"/>
    <col min="19" max="19" width="48.140625" bestFit="1" customWidth="1"/>
    <col min="20" max="20" width="30.7109375" customWidth="1"/>
    <col min="21" max="21" width="18.28515625" customWidth="1"/>
    <col min="22" max="22" width="59.7109375" customWidth="1"/>
    <col min="23" max="23" width="16.5703125" customWidth="1"/>
    <col min="24" max="24" width="16.42578125" bestFit="1" customWidth="1"/>
    <col min="25" max="25" width="61.140625" customWidth="1"/>
  </cols>
  <sheetData>
    <row r="1" spans="1:25" x14ac:dyDescent="0.25">
      <c r="A1" t="s">
        <v>290</v>
      </c>
      <c r="B1" t="s">
        <v>5</v>
      </c>
      <c r="C1" t="s">
        <v>28</v>
      </c>
      <c r="D1" t="s">
        <v>333</v>
      </c>
      <c r="E1" t="s">
        <v>327</v>
      </c>
      <c r="F1" t="s">
        <v>7</v>
      </c>
      <c r="G1" t="s">
        <v>22</v>
      </c>
      <c r="H1" t="s">
        <v>0</v>
      </c>
      <c r="I1" t="s">
        <v>3</v>
      </c>
      <c r="J1" t="s">
        <v>1</v>
      </c>
      <c r="K1" t="s">
        <v>31</v>
      </c>
      <c r="L1" t="s">
        <v>6</v>
      </c>
      <c r="M1" t="s">
        <v>338</v>
      </c>
      <c r="N1" t="s">
        <v>8</v>
      </c>
      <c r="O1" t="s">
        <v>39</v>
      </c>
      <c r="P1" s="72" t="s">
        <v>300</v>
      </c>
      <c r="Q1" s="72" t="s">
        <v>299</v>
      </c>
      <c r="R1" t="s">
        <v>21</v>
      </c>
      <c r="S1" t="s">
        <v>12</v>
      </c>
      <c r="T1" t="s">
        <v>11</v>
      </c>
      <c r="U1" t="s">
        <v>319</v>
      </c>
      <c r="V1" t="s">
        <v>334</v>
      </c>
      <c r="W1" t="s">
        <v>40</v>
      </c>
      <c r="X1" t="s">
        <v>2</v>
      </c>
      <c r="Y1" t="s">
        <v>341</v>
      </c>
    </row>
    <row r="2" spans="1:25" x14ac:dyDescent="0.25">
      <c r="A2" s="72" t="s">
        <v>24</v>
      </c>
      <c r="B2" s="72"/>
      <c r="C2" s="72"/>
      <c r="D2" s="72"/>
      <c r="E2" s="72" t="s">
        <v>24</v>
      </c>
      <c r="F2">
        <v>0</v>
      </c>
      <c r="H2" s="72"/>
      <c r="I2" s="72"/>
      <c r="J2" s="72"/>
      <c r="K2" s="72"/>
      <c r="L2" s="92"/>
      <c r="M2" t="b">
        <v>0</v>
      </c>
      <c r="N2" s="4"/>
      <c r="O2">
        <v>25300</v>
      </c>
      <c r="P2" s="72"/>
      <c r="Q2" s="72"/>
      <c r="R2" s="92" t="e">
        <v>#VALUE!</v>
      </c>
      <c r="S2" s="92" t="s">
        <v>335</v>
      </c>
      <c r="T2" s="4">
        <v>46128</v>
      </c>
      <c r="U2" t="s">
        <v>311</v>
      </c>
      <c r="V2" t="s">
        <v>311</v>
      </c>
      <c r="W2" t="s">
        <v>138</v>
      </c>
      <c r="X2" t="s">
        <v>347</v>
      </c>
      <c r="Y2" t="s">
        <v>342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55C71-B0E2-46C7-B7E1-04F76304E073}">
  <sheetPr codeName="Planilha7"/>
  <dimension ref="A1:C26"/>
  <sheetViews>
    <sheetView workbookViewId="0">
      <pane xSplit="2" topLeftCell="C1" activePane="topRight" state="frozen"/>
      <selection pane="topRight" activeCell="C16" sqref="C16"/>
    </sheetView>
  </sheetViews>
  <sheetFormatPr defaultRowHeight="15" x14ac:dyDescent="0.25"/>
  <cols>
    <col min="1" max="1" width="30.7109375" style="91" customWidth="1"/>
    <col min="2" max="2" width="32.28515625" hidden="1" customWidth="1"/>
    <col min="3" max="3" width="40.7109375" customWidth="1"/>
  </cols>
  <sheetData>
    <row r="1" spans="1:3" ht="17.25" thickTop="1" thickBot="1" x14ac:dyDescent="0.3">
      <c r="A1" s="104" t="s">
        <v>5</v>
      </c>
      <c r="B1" s="96"/>
      <c r="C1" s="96"/>
    </row>
    <row r="2" spans="1:3" ht="17.25" thickTop="1" thickBot="1" x14ac:dyDescent="0.3">
      <c r="A2" s="104" t="s">
        <v>292</v>
      </c>
      <c r="B2" s="96"/>
      <c r="C2" s="96"/>
    </row>
    <row r="3" spans="1:3" ht="17.25" thickTop="1" thickBot="1" x14ac:dyDescent="0.3">
      <c r="A3" s="104" t="s">
        <v>4</v>
      </c>
      <c r="B3" s="96"/>
      <c r="C3" s="96"/>
    </row>
    <row r="4" spans="1:3" ht="17.25" thickTop="1" thickBot="1" x14ac:dyDescent="0.3">
      <c r="A4" s="104" t="s">
        <v>333</v>
      </c>
      <c r="B4" s="96"/>
      <c r="C4" s="96"/>
    </row>
    <row r="5" spans="1:3" ht="17.25" thickTop="1" thickBot="1" x14ac:dyDescent="0.3">
      <c r="A5" s="104" t="s">
        <v>327</v>
      </c>
      <c r="B5" s="96" t="s">
        <v>24</v>
      </c>
      <c r="C5" s="96" t="s">
        <v>24</v>
      </c>
    </row>
    <row r="6" spans="1:3" ht="17.25" thickTop="1" thickBot="1" x14ac:dyDescent="0.3">
      <c r="A6" s="104" t="s">
        <v>7</v>
      </c>
      <c r="B6" s="97">
        <f>IF(B$5="NÃO",B3,"")</f>
        <v>0</v>
      </c>
      <c r="C6" s="97">
        <f>IF(C$5="NÃO",C3,"")</f>
        <v>0</v>
      </c>
    </row>
    <row r="7" spans="1:3" ht="17.25" thickTop="1" thickBot="1" x14ac:dyDescent="0.3">
      <c r="A7" s="104" t="s">
        <v>22</v>
      </c>
      <c r="B7" s="97">
        <f>IF(B$5="NÃO",B4,"")</f>
        <v>0</v>
      </c>
      <c r="C7" s="97">
        <f>IF(C$5="NÃO",C4,"")</f>
        <v>0</v>
      </c>
    </row>
    <row r="8" spans="1:3" ht="17.25" thickTop="1" thickBot="1" x14ac:dyDescent="0.3">
      <c r="A8" s="104" t="s">
        <v>0</v>
      </c>
      <c r="B8" s="96"/>
      <c r="C8" s="96"/>
    </row>
    <row r="9" spans="1:3" ht="17.25" thickTop="1" thickBot="1" x14ac:dyDescent="0.3">
      <c r="A9" s="104" t="s">
        <v>3</v>
      </c>
      <c r="B9" s="96"/>
      <c r="C9" s="96"/>
    </row>
    <row r="10" spans="1:3" ht="17.25" thickTop="1" thickBot="1" x14ac:dyDescent="0.3">
      <c r="A10" s="104" t="s">
        <v>1</v>
      </c>
      <c r="B10" s="96"/>
      <c r="C10" s="96"/>
    </row>
    <row r="11" spans="1:3" ht="17.25" thickTop="1" thickBot="1" x14ac:dyDescent="0.3">
      <c r="A11" s="105" t="s">
        <v>348</v>
      </c>
      <c r="B11" s="102"/>
      <c r="C11" s="102"/>
    </row>
    <row r="12" spans="1:3" ht="17.25" thickTop="1" thickBot="1" x14ac:dyDescent="0.3">
      <c r="A12" s="105" t="s">
        <v>6</v>
      </c>
      <c r="B12" s="137"/>
      <c r="C12" s="137"/>
    </row>
    <row r="13" spans="1:3" ht="17.25" thickTop="1" thickBot="1" x14ac:dyDescent="0.3">
      <c r="A13" s="105" t="s">
        <v>8</v>
      </c>
      <c r="B13" s="100"/>
      <c r="C13" s="100"/>
    </row>
    <row r="14" spans="1:3" ht="17.25" thickTop="1" thickBot="1" x14ac:dyDescent="0.3">
      <c r="A14" s="106" t="s">
        <v>300</v>
      </c>
      <c r="B14" s="102"/>
      <c r="C14" s="102"/>
    </row>
    <row r="15" spans="1:3" ht="17.25" thickTop="1" thickBot="1" x14ac:dyDescent="0.3">
      <c r="A15" s="106" t="s">
        <v>299</v>
      </c>
      <c r="B15" s="102"/>
      <c r="C15" s="102"/>
    </row>
    <row r="16" spans="1:3" ht="16.5" thickTop="1" x14ac:dyDescent="0.25">
      <c r="A16" s="107" t="s">
        <v>21</v>
      </c>
      <c r="B16" s="103">
        <f ca="1">ROUND(B12*ObterFatorINPC(B13,EDATE(B18,-1))-B12, 2)</f>
        <v>0</v>
      </c>
      <c r="C16" s="103">
        <f ca="1">ROUND(C12*ObterFatorINPC(C13,EDATE(C18,-1))-C12, 2)</f>
        <v>0</v>
      </c>
    </row>
    <row r="17" spans="1:3" ht="15.75" x14ac:dyDescent="0.25">
      <c r="A17" s="107" t="s">
        <v>12</v>
      </c>
      <c r="B17" s="138">
        <f ca="1">B12+B16</f>
        <v>0</v>
      </c>
      <c r="C17" s="138">
        <f ca="1">C12+C16</f>
        <v>0</v>
      </c>
    </row>
    <row r="18" spans="1:3" ht="15.75" x14ac:dyDescent="0.25">
      <c r="A18" s="115" t="s">
        <v>11</v>
      </c>
      <c r="B18" s="125">
        <f ca="1">TODAY()</f>
        <v>46128</v>
      </c>
      <c r="C18" s="125">
        <f ca="1">TODAY()</f>
        <v>46128</v>
      </c>
    </row>
    <row r="19" spans="1:3" ht="15.75" x14ac:dyDescent="0.25">
      <c r="A19" s="108" t="s">
        <v>319</v>
      </c>
      <c r="B19" s="129" t="str">
        <f>IdentificarDocumento(B4)</f>
        <v>Inscrição</v>
      </c>
      <c r="C19" s="129" t="str">
        <f>IdentificarDocumento(C4)</f>
        <v>Inscrição</v>
      </c>
    </row>
    <row r="20" spans="1:3" ht="15.75" x14ac:dyDescent="0.25">
      <c r="A20" s="109" t="s">
        <v>334</v>
      </c>
      <c r="B20" s="130" t="str">
        <f>IdentificarDocumento(B7)</f>
        <v>Inscrição</v>
      </c>
      <c r="C20" s="130" t="str">
        <f>IdentificarDocumento(C7)</f>
        <v>Inscrição</v>
      </c>
    </row>
    <row r="21" spans="1:3" ht="210" hidden="1" x14ac:dyDescent="0.25">
      <c r="A21" s="98" t="s">
        <v>2</v>
      </c>
      <c r="B21" s="132" t="str">
        <f ca="1">"Restituição de fiança-crime, conforme ordem judicial expedida e enviada à esta Secretaria para cumprimento, no bojo dos autos judiciais nº "&amp;B2&amp;CHAR(10)&amp;"Acusado: "&amp;B3&amp;"  "&amp;B19&amp;": "&amp;B4&amp;CHAR(10)&amp;"Beneficiário do Alvará: "&amp;B6&amp;"  "&amp;B20&amp;": "&amp;B7&amp;CHAR(10)&amp;"DARE referência: "&amp;B11&amp;CHAR(10)&amp;"Valor autorizado a restituir: R$ "&amp;TEXT(B12,"#.##0,00")&amp;CHAR(10)&amp;"Valor atualizado Correção pelo INPC (IBGE): R$ "&amp;TEXT(B17,"#.##0,00")&amp;CHAR(10)&amp;"Processo SEI nº "&amp;B1</f>
        <v xml:space="preserve">Restituição de fiança-crime, conforme ordem judicial expedida e enviada à esta Secretaria para cumprimento, no bojo dos autos judiciais nº 
Acusado:   Inscrição: 
Beneficiário do Alvará: 0  Inscrição: 0
DARE referência: 
Valor autorizado a restituir: R$ 0,00
Valor atualizado Correção pelo INPC (IBGE): R$ 0,00
Processo SEI nº </v>
      </c>
      <c r="C21" s="132" t="str">
        <f ca="1">"Restituição de fiança-crime, conforme ordem judicial expedida e enviada à esta Secretaria para cumprimento, no bojo dos autos judiciais nº "&amp;C2&amp;CHAR(10)&amp;"Acusado: "&amp;C3&amp;"  "&amp;C19&amp;": "&amp;C4&amp;CHAR(10)&amp;"Beneficiário do Alvará: "&amp;C6&amp;"  "&amp;C20&amp;": "&amp;C7&amp;CHAR(10)&amp;"DARE referência: "&amp;C11&amp;CHAR(10)&amp;"Valor autorizado a restituir: R$ "&amp;TEXT(C12,"#.##0,00")&amp;CHAR(10)&amp;"Valor atualizado Correção pelo INPC (IBGE): R$ "&amp;TEXT(C17,"#.##0,00")&amp;CHAR(10)&amp;"Processo SEI nº "&amp;C1</f>
        <v xml:space="preserve">Restituição de fiança-crime, conforme ordem judicial expedida e enviada à esta Secretaria para cumprimento, no bojo dos autos judiciais nº 
Acusado:   Inscrição: 
Beneficiário do Alvará: 0  Inscrição: 0
DARE referência: 
Valor autorizado a restituir: R$ 0,00
Valor atualizado Correção pelo INPC (IBGE): R$ 0,00
Processo SEI nº </v>
      </c>
    </row>
    <row r="22" spans="1:3" x14ac:dyDescent="0.25">
      <c r="A22" s="123" t="s">
        <v>341</v>
      </c>
      <c r="B22" s="124" t="str">
        <f>NomeUsuario()</f>
        <v>pedro.galvao</v>
      </c>
      <c r="C22" s="124" t="str">
        <f>NomeUsuario()</f>
        <v>pedro.galvao</v>
      </c>
    </row>
    <row r="24" spans="1:3" x14ac:dyDescent="0.25">
      <c r="A24" s="145"/>
    </row>
    <row r="25" spans="1:3" x14ac:dyDescent="0.25">
      <c r="A25" s="145"/>
    </row>
    <row r="26" spans="1:3" x14ac:dyDescent="0.25">
      <c r="A26" s="145"/>
    </row>
  </sheetData>
  <mergeCells count="1">
    <mergeCell ref="A24:A26"/>
  </mergeCells>
  <conditionalFormatting sqref="B19:B20">
    <cfRule type="cellIs" dxfId="24" priority="105" operator="equal">
      <formula>"Inscrição"</formula>
    </cfRule>
  </conditionalFormatting>
  <conditionalFormatting sqref="B19:B20">
    <cfRule type="cellIs" dxfId="23" priority="102" operator="equal">
      <formula>"CNPJ"</formula>
    </cfRule>
  </conditionalFormatting>
  <conditionalFormatting sqref="B19:B20">
    <cfRule type="cellIs" dxfId="22" priority="101" operator="equal">
      <formula>FALSE</formula>
    </cfRule>
  </conditionalFormatting>
  <conditionalFormatting sqref="B19:B20">
    <cfRule type="cellIs" dxfId="21" priority="103" operator="equal">
      <formula>"CPF"</formula>
    </cfRule>
  </conditionalFormatting>
  <conditionalFormatting sqref="B19:B20">
    <cfRule type="cellIs" dxfId="20" priority="104" operator="equal">
      <formula>"Placa"</formula>
    </cfRule>
  </conditionalFormatting>
  <conditionalFormatting sqref="C19:C20">
    <cfRule type="cellIs" dxfId="19" priority="5" operator="equal">
      <formula>"Inscrição"</formula>
    </cfRule>
  </conditionalFormatting>
  <conditionalFormatting sqref="C19:C20">
    <cfRule type="cellIs" dxfId="18" priority="2" operator="equal">
      <formula>"CNPJ"</formula>
    </cfRule>
  </conditionalFormatting>
  <conditionalFormatting sqref="C19:C20">
    <cfRule type="cellIs" dxfId="17" priority="1" operator="equal">
      <formula>FALSE</formula>
    </cfRule>
  </conditionalFormatting>
  <conditionalFormatting sqref="C19:C20">
    <cfRule type="cellIs" dxfId="16" priority="3" operator="equal">
      <formula>"CPF"</formula>
    </cfRule>
  </conditionalFormatting>
  <conditionalFormatting sqref="C19:C20">
    <cfRule type="cellIs" dxfId="15" priority="4" operator="equal">
      <formula>"Placa"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66675</xdr:colOff>
                    <xdr:row>23</xdr:row>
                    <xdr:rowOff>38100</xdr:rowOff>
                  </from>
                  <to>
                    <xdr:col>0</xdr:col>
                    <xdr:colOff>952500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1047750</xdr:colOff>
                    <xdr:row>23</xdr:row>
                    <xdr:rowOff>38100</xdr:rowOff>
                  </from>
                  <to>
                    <xdr:col>0</xdr:col>
                    <xdr:colOff>1962150</xdr:colOff>
                    <xdr:row>25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1BFEAC-A0ED-4B8D-90A3-7421C3547B0D}">
          <x14:formula1>
            <xm:f>Configurações!$K$2:$K$3</xm:f>
          </x14:formula1>
          <xm:sqref>B5:C5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82DD-9976-47D0-A3F1-FD1F98AC4F70}">
  <sheetPr codeName="Planilha4"/>
  <dimension ref="A1:B30"/>
  <sheetViews>
    <sheetView workbookViewId="0">
      <pane xSplit="2" topLeftCell="C1" activePane="topRight" state="frozen"/>
      <selection pane="topRight" activeCell="L17" sqref="L17"/>
    </sheetView>
  </sheetViews>
  <sheetFormatPr defaultRowHeight="15" x14ac:dyDescent="0.25"/>
  <cols>
    <col min="1" max="1" width="30.7109375" customWidth="1"/>
    <col min="2" max="2" width="38.7109375" hidden="1" customWidth="1"/>
  </cols>
  <sheetData>
    <row r="1" spans="1:2" ht="17.25" thickTop="1" thickBot="1" x14ac:dyDescent="0.3">
      <c r="A1" s="110" t="s">
        <v>290</v>
      </c>
      <c r="B1" s="96" t="s">
        <v>24</v>
      </c>
    </row>
    <row r="2" spans="1:2" ht="17.25" thickTop="1" thickBot="1" x14ac:dyDescent="0.3">
      <c r="A2" s="104" t="s">
        <v>5</v>
      </c>
      <c r="B2" s="96"/>
    </row>
    <row r="3" spans="1:2" ht="17.25" thickTop="1" thickBot="1" x14ac:dyDescent="0.3">
      <c r="A3" s="104" t="s">
        <v>28</v>
      </c>
      <c r="B3" s="96"/>
    </row>
    <row r="4" spans="1:2" ht="17.25" thickTop="1" thickBot="1" x14ac:dyDescent="0.3">
      <c r="A4" s="104" t="s">
        <v>333</v>
      </c>
      <c r="B4" s="96"/>
    </row>
    <row r="5" spans="1:2" ht="17.25" thickTop="1" thickBot="1" x14ac:dyDescent="0.3">
      <c r="A5" s="104" t="s">
        <v>327</v>
      </c>
      <c r="B5" s="96" t="s">
        <v>24</v>
      </c>
    </row>
    <row r="6" spans="1:2" ht="17.25" thickTop="1" thickBot="1" x14ac:dyDescent="0.3">
      <c r="A6" s="104" t="s">
        <v>7</v>
      </c>
      <c r="B6" s="97">
        <f>IF(B$5="NÃO",B3,"")</f>
        <v>0</v>
      </c>
    </row>
    <row r="7" spans="1:2" ht="17.25" thickTop="1" thickBot="1" x14ac:dyDescent="0.3">
      <c r="A7" s="104" t="s">
        <v>22</v>
      </c>
      <c r="B7" s="97"/>
    </row>
    <row r="8" spans="1:2" ht="17.25" thickTop="1" thickBot="1" x14ac:dyDescent="0.3">
      <c r="A8" s="104" t="s">
        <v>0</v>
      </c>
      <c r="B8" s="96"/>
    </row>
    <row r="9" spans="1:2" ht="17.25" thickTop="1" thickBot="1" x14ac:dyDescent="0.3">
      <c r="A9" s="104" t="s">
        <v>3</v>
      </c>
      <c r="B9" s="96"/>
    </row>
    <row r="10" spans="1:2" ht="17.25" thickTop="1" thickBot="1" x14ac:dyDescent="0.3">
      <c r="A10" s="104" t="s">
        <v>1</v>
      </c>
      <c r="B10" s="96"/>
    </row>
    <row r="11" spans="1:2" ht="17.25" thickTop="1" thickBot="1" x14ac:dyDescent="0.3">
      <c r="A11" s="75" t="s">
        <v>348</v>
      </c>
      <c r="B11" s="102"/>
    </row>
    <row r="12" spans="1:2" ht="17.25" thickTop="1" thickBot="1" x14ac:dyDescent="0.3">
      <c r="A12" s="75" t="s">
        <v>6</v>
      </c>
      <c r="B12" s="137"/>
    </row>
    <row r="13" spans="1:2" ht="17.25" thickTop="1" thickBot="1" x14ac:dyDescent="0.3">
      <c r="A13" s="75" t="s">
        <v>338</v>
      </c>
      <c r="B13" s="99" t="b">
        <v>0</v>
      </c>
    </row>
    <row r="14" spans="1:2" ht="17.25" thickTop="1" thickBot="1" x14ac:dyDescent="0.3">
      <c r="A14" s="75" t="s">
        <v>8</v>
      </c>
      <c r="B14" s="100"/>
    </row>
    <row r="15" spans="1:2" ht="17.25" thickTop="1" thickBot="1" x14ac:dyDescent="0.3">
      <c r="A15" s="75" t="s">
        <v>39</v>
      </c>
      <c r="B15" s="99">
        <v>25300</v>
      </c>
    </row>
    <row r="16" spans="1:2" ht="17.25" thickTop="1" thickBot="1" x14ac:dyDescent="0.3">
      <c r="A16" s="86" t="s">
        <v>300</v>
      </c>
      <c r="B16" s="102"/>
    </row>
    <row r="17" spans="1:2" ht="17.25" thickTop="1" thickBot="1" x14ac:dyDescent="0.3">
      <c r="A17" s="86" t="s">
        <v>299</v>
      </c>
      <c r="B17" s="102"/>
    </row>
    <row r="18" spans="1:2" ht="17.25" thickTop="1" thickBot="1" x14ac:dyDescent="0.3">
      <c r="A18" s="111" t="s">
        <v>21</v>
      </c>
      <c r="B18" s="119" t="e">
        <f ca="1">B19-B12</f>
        <v>#VALUE!</v>
      </c>
    </row>
    <row r="19" spans="1:2" ht="17.25" thickTop="1" thickBot="1" x14ac:dyDescent="0.3">
      <c r="A19" s="111" t="s">
        <v>12</v>
      </c>
      <c r="B19" s="139" t="str">
        <f ca="1">IF(B1="NÃO",GEFIN_SEFAZ(B14,B20,B12,B13),"")</f>
        <v/>
      </c>
    </row>
    <row r="20" spans="1:2" ht="16.5" thickTop="1" x14ac:dyDescent="0.25">
      <c r="A20" s="111" t="s">
        <v>11</v>
      </c>
      <c r="B20" s="118">
        <f ca="1">TODAY()</f>
        <v>46128</v>
      </c>
    </row>
    <row r="21" spans="1:2" ht="15.75" x14ac:dyDescent="0.25">
      <c r="A21" s="112" t="s">
        <v>319</v>
      </c>
      <c r="B21" s="126" t="str">
        <f>IdentificarDocumento(B4)</f>
        <v>Inscrição</v>
      </c>
    </row>
    <row r="22" spans="1:2" ht="15.75" x14ac:dyDescent="0.25">
      <c r="A22" s="113" t="s">
        <v>334</v>
      </c>
      <c r="B22" s="127" t="str">
        <f>IdentificarDocumento(B7)</f>
        <v>Inscrição</v>
      </c>
    </row>
    <row r="23" spans="1:2" ht="15.75" x14ac:dyDescent="0.25">
      <c r="A23" s="114" t="s">
        <v>40</v>
      </c>
      <c r="B23" s="128" t="str">
        <f>VLOOKUP(B15,Tabela2[],2,0)</f>
        <v>GOIANIA</v>
      </c>
    </row>
    <row r="24" spans="1:2" ht="165" hidden="1" x14ac:dyDescent="0.25">
      <c r="A24" s="94" t="s">
        <v>2</v>
      </c>
      <c r="B24" s="132" t="str">
        <f ca="1">"Restituição de indébito tributário, decorrente de recolhimento indevido ao Tesouro Estadual, conforme Despacho Autorizativo e documentação acostada aos autos SEI nº  "&amp;B2&amp;CHAR(10)&amp;"Contribuinte: "&amp;B3&amp;CHAR(10)&amp;"Veículo "&amp;B21&amp;": "&amp;B4&amp;CHAR(10)&amp;"DARE referência: "&amp;B11&amp;CHAR(10)&amp;"Valor autorizado a restituir: R$ "&amp;TEXT(B12,"#.##0,00")&amp;CHAR(10)&amp;"Valor atualizado líquido: R$ "&amp;TEXT(B19,"#.##0,00")&amp;CHAR(10)&amp;"Beneficiário da OPE: "&amp;B6&amp;"  "&amp;B22&amp;": "&amp;B7</f>
        <v xml:space="preserve">Restituição de indébito tributário, decorrente de recolhimento indevido ao Tesouro Estadual, conforme Despacho Autorizativo e documentação acostada aos autos SEI nº  
Contribuinte: 
Veículo Inscrição: 
DARE referência: 
Valor autorizado a restituir: R$ 0,00
Valor atualizado líquido: R$ 
Beneficiário da OPE: 0  Inscrição: </v>
      </c>
    </row>
    <row r="25" spans="1:2" x14ac:dyDescent="0.25">
      <c r="A25" s="123" t="s">
        <v>341</v>
      </c>
      <c r="B25" s="124" t="str">
        <f>NomeUsuario()</f>
        <v>pedro.galvao</v>
      </c>
    </row>
    <row r="28" spans="1:2" x14ac:dyDescent="0.25">
      <c r="A28" s="145"/>
    </row>
    <row r="29" spans="1:2" x14ac:dyDescent="0.25">
      <c r="A29" s="145"/>
    </row>
    <row r="30" spans="1:2" x14ac:dyDescent="0.25">
      <c r="A30" s="145"/>
    </row>
  </sheetData>
  <mergeCells count="1">
    <mergeCell ref="A28:A30"/>
  </mergeCells>
  <conditionalFormatting sqref="B21:B22">
    <cfRule type="cellIs" dxfId="14" priority="211" operator="equal">
      <formula>FALSE</formula>
    </cfRule>
    <cfRule type="cellIs" dxfId="13" priority="215" operator="equal">
      <formula>"Placa"</formula>
    </cfRule>
  </conditionalFormatting>
  <conditionalFormatting sqref="B21:B22">
    <cfRule type="cellIs" dxfId="12" priority="214" operator="equal">
      <formula>"Inscrição"</formula>
    </cfRule>
  </conditionalFormatting>
  <conditionalFormatting sqref="B21:B22">
    <cfRule type="cellIs" dxfId="11" priority="212" operator="equal">
      <formula>"CNPJ"</formula>
    </cfRule>
  </conditionalFormatting>
  <conditionalFormatting sqref="B21:B22">
    <cfRule type="cellIs" dxfId="10" priority="213" operator="equal">
      <formula>"CPF"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4" name="Button 8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66675</xdr:colOff>
                    <xdr:row>27</xdr:row>
                    <xdr:rowOff>47625</xdr:rowOff>
                  </from>
                  <to>
                    <xdr:col>0</xdr:col>
                    <xdr:colOff>952500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5" name="Button 13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1047750</xdr:colOff>
                    <xdr:row>27</xdr:row>
                    <xdr:rowOff>47625</xdr:rowOff>
                  </from>
                  <to>
                    <xdr:col>0</xdr:col>
                    <xdr:colOff>1962150</xdr:colOff>
                    <xdr:row>29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A232AC-2C6B-4425-8D71-C93D151955DB}">
          <x14:formula1>
            <xm:f>Configurações!$K$2:$K$3</xm:f>
          </x14:formula1>
          <xm:sqref>B1 B5</xm:sqref>
        </x14:dataValidation>
        <x14:dataValidation type="list" allowBlank="1" showInputMessage="1" showErrorMessage="1" xr:uid="{3989889C-CE7B-4236-9CDC-E0F25ECF6C18}">
          <x14:formula1>
            <xm:f>Configurações!$J$2:$J$3</xm:f>
          </x14:formula1>
          <xm:sqref>B13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A508F-0555-4E62-B715-DB1224FAC422}">
  <sheetPr codeName="Planilha14"/>
  <dimension ref="A1:B28"/>
  <sheetViews>
    <sheetView workbookViewId="0">
      <pane xSplit="2" topLeftCell="C1" activePane="topRight" state="frozen"/>
      <selection pane="topRight" activeCell="H18" sqref="H18"/>
    </sheetView>
  </sheetViews>
  <sheetFormatPr defaultRowHeight="15" x14ac:dyDescent="0.25"/>
  <cols>
    <col min="1" max="1" width="30.7109375" customWidth="1"/>
    <col min="2" max="2" width="41" hidden="1" customWidth="1"/>
  </cols>
  <sheetData>
    <row r="1" spans="1:2" ht="17.25" thickTop="1" thickBot="1" x14ac:dyDescent="0.3">
      <c r="A1" s="110" t="s">
        <v>290</v>
      </c>
      <c r="B1" s="96" t="s">
        <v>24</v>
      </c>
    </row>
    <row r="2" spans="1:2" ht="17.25" thickTop="1" thickBot="1" x14ac:dyDescent="0.3">
      <c r="A2" s="116" t="s">
        <v>5</v>
      </c>
      <c r="B2" s="96"/>
    </row>
    <row r="3" spans="1:2" ht="17.25" thickTop="1" thickBot="1" x14ac:dyDescent="0.3">
      <c r="A3" s="116" t="s">
        <v>28</v>
      </c>
      <c r="B3" s="96"/>
    </row>
    <row r="4" spans="1:2" ht="17.25" thickTop="1" thickBot="1" x14ac:dyDescent="0.3">
      <c r="A4" s="116" t="s">
        <v>333</v>
      </c>
      <c r="B4" s="96"/>
    </row>
    <row r="5" spans="1:2" ht="17.25" thickTop="1" thickBot="1" x14ac:dyDescent="0.3">
      <c r="A5" s="116" t="s">
        <v>327</v>
      </c>
      <c r="B5" s="95" t="s">
        <v>24</v>
      </c>
    </row>
    <row r="6" spans="1:2" ht="17.25" thickTop="1" thickBot="1" x14ac:dyDescent="0.3">
      <c r="A6" s="116" t="s">
        <v>7</v>
      </c>
      <c r="B6" s="95">
        <f>IF(B$5="NÃO",B3,"")</f>
        <v>0</v>
      </c>
    </row>
    <row r="7" spans="1:2" ht="17.25" thickTop="1" thickBot="1" x14ac:dyDescent="0.3">
      <c r="A7" s="116" t="s">
        <v>22</v>
      </c>
      <c r="B7" s="95">
        <f>IF(B$5="NÃO",B4,"")</f>
        <v>0</v>
      </c>
    </row>
    <row r="8" spans="1:2" ht="17.25" thickTop="1" thickBot="1" x14ac:dyDescent="0.3">
      <c r="A8" s="116" t="s">
        <v>0</v>
      </c>
      <c r="B8" s="96"/>
    </row>
    <row r="9" spans="1:2" ht="17.25" thickTop="1" thickBot="1" x14ac:dyDescent="0.3">
      <c r="A9" s="116" t="s">
        <v>3</v>
      </c>
      <c r="B9" s="96"/>
    </row>
    <row r="10" spans="1:2" ht="17.25" thickTop="1" thickBot="1" x14ac:dyDescent="0.3">
      <c r="A10" s="116" t="s">
        <v>1</v>
      </c>
      <c r="B10" s="96"/>
    </row>
    <row r="11" spans="1:2" ht="17.25" thickTop="1" thickBot="1" x14ac:dyDescent="0.3">
      <c r="A11" s="105" t="s">
        <v>348</v>
      </c>
      <c r="B11" s="102"/>
    </row>
    <row r="12" spans="1:2" ht="17.25" thickTop="1" thickBot="1" x14ac:dyDescent="0.3">
      <c r="A12" s="105" t="s">
        <v>6</v>
      </c>
      <c r="B12" s="137"/>
    </row>
    <row r="13" spans="1:2" ht="17.25" thickTop="1" thickBot="1" x14ac:dyDescent="0.3">
      <c r="A13" s="105" t="s">
        <v>41</v>
      </c>
      <c r="B13" s="99" t="b">
        <v>0</v>
      </c>
    </row>
    <row r="14" spans="1:2" ht="17.25" thickTop="1" thickBot="1" x14ac:dyDescent="0.3">
      <c r="A14" s="105" t="s">
        <v>8</v>
      </c>
      <c r="B14" s="100"/>
    </row>
    <row r="15" spans="1:2" ht="17.25" thickTop="1" thickBot="1" x14ac:dyDescent="0.3">
      <c r="A15" s="106" t="s">
        <v>300</v>
      </c>
      <c r="B15" s="102"/>
    </row>
    <row r="16" spans="1:2" ht="17.25" thickTop="1" thickBot="1" x14ac:dyDescent="0.3">
      <c r="A16" s="106" t="s">
        <v>299</v>
      </c>
      <c r="B16" s="102"/>
    </row>
    <row r="17" spans="1:2" ht="17.25" thickTop="1" thickBot="1" x14ac:dyDescent="0.3">
      <c r="A17" s="107" t="s">
        <v>21</v>
      </c>
      <c r="B17" s="119" t="e">
        <f ca="1">B18-B12</f>
        <v>#VALUE!</v>
      </c>
    </row>
    <row r="18" spans="1:2" ht="17.25" thickTop="1" thickBot="1" x14ac:dyDescent="0.3">
      <c r="A18" s="107" t="s">
        <v>12</v>
      </c>
      <c r="B18" s="139" t="str">
        <f ca="1">IF(B1="NÃO",GEFIN_SEFAZ(B14,B19,B12,B13),"")</f>
        <v/>
      </c>
    </row>
    <row r="19" spans="1:2" ht="17.25" thickTop="1" thickBot="1" x14ac:dyDescent="0.3">
      <c r="A19" s="115" t="s">
        <v>11</v>
      </c>
      <c r="B19" s="120">
        <f ca="1">TODAY()</f>
        <v>46128</v>
      </c>
    </row>
    <row r="20" spans="1:2" ht="16.5" thickTop="1" x14ac:dyDescent="0.25">
      <c r="A20" s="108" t="s">
        <v>319</v>
      </c>
      <c r="B20" s="129" t="str">
        <f>IdentificarDocumento(B4)</f>
        <v>Inscrição</v>
      </c>
    </row>
    <row r="21" spans="1:2" ht="15.75" x14ac:dyDescent="0.25">
      <c r="A21" s="109" t="s">
        <v>334</v>
      </c>
      <c r="B21" s="131" t="str">
        <f>IdentificarDocumento(B7)</f>
        <v>Inscrição</v>
      </c>
    </row>
    <row r="22" spans="1:2" ht="150" hidden="1" x14ac:dyDescent="0.25">
      <c r="A22" s="117" t="s">
        <v>2</v>
      </c>
      <c r="B22" s="132" t="str">
        <f ca="1">"Restituição de indébito tributário, decorrente de recolhimento indevido ao Tesouro Estadual, conforme Despacho Autorizativo e documentação acostada aos autos SEI nº  "&amp;B2&amp;CHAR(10)&amp;"Contribuinte: "&amp;B3&amp;", inscrita no "&amp;B20&amp;" sob nº: "&amp;B4&amp;CHAR(10)&amp;"DARE referência: "&amp;B11&amp;CHAR(10)&amp;"Valor autorizado a restituir: R$ "&amp;TEXT(B12,"#.##0,00")&amp;CHAR(10)&amp;"Valor atualizado líquido: R$ "&amp;TEXT(B18,"#.##0,00")&amp;CHAR(10)&amp;"Beneficiário da OPE: "&amp;B6&amp;"  "&amp;B21&amp;": "&amp;B7</f>
        <v>Restituição de indébito tributário, decorrente de recolhimento indevido ao Tesouro Estadual, conforme Despacho Autorizativo e documentação acostada aos autos SEI nº  
Contribuinte: , inscrita no Inscrição sob nº: 
DARE referência: 
Valor autorizado a restituir: R$ 0,00
Valor atualizado líquido: R$ 
Beneficiário da OPE: 0  Inscrição: 0</v>
      </c>
    </row>
    <row r="23" spans="1:2" x14ac:dyDescent="0.25">
      <c r="A23" s="123" t="s">
        <v>341</v>
      </c>
      <c r="B23" s="124" t="str">
        <f>NomeUsuario()</f>
        <v>pedro.galvao</v>
      </c>
    </row>
    <row r="25" spans="1:2" x14ac:dyDescent="0.25">
      <c r="A25" s="145"/>
    </row>
    <row r="26" spans="1:2" x14ac:dyDescent="0.25">
      <c r="A26" s="145"/>
    </row>
    <row r="27" spans="1:2" x14ac:dyDescent="0.25">
      <c r="A27" s="145"/>
    </row>
    <row r="28" spans="1:2" x14ac:dyDescent="0.25">
      <c r="A28" s="121"/>
    </row>
  </sheetData>
  <mergeCells count="1">
    <mergeCell ref="A25:A27"/>
  </mergeCells>
  <conditionalFormatting sqref="B20:B21">
    <cfRule type="cellIs" dxfId="9" priority="71" operator="equal">
      <formula>FALSE</formula>
    </cfRule>
    <cfRule type="cellIs" dxfId="8" priority="72" operator="equal">
      <formula>"CNPJ"</formula>
    </cfRule>
    <cfRule type="cellIs" dxfId="7" priority="73" operator="equal">
      <formula>"CPF"</formula>
    </cfRule>
    <cfRule type="cellIs" dxfId="6" priority="74" operator="equal">
      <formula>"Placa"</formula>
    </cfRule>
    <cfRule type="cellIs" dxfId="5" priority="75" operator="equal">
      <formula>"Inscrição"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20" r:id="rId4" name="Button 8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57150</xdr:colOff>
                    <xdr:row>24</xdr:row>
                    <xdr:rowOff>47625</xdr:rowOff>
                  </from>
                  <to>
                    <xdr:col>0</xdr:col>
                    <xdr:colOff>942975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5" name="Button 9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1038225</xdr:colOff>
                    <xdr:row>24</xdr:row>
                    <xdr:rowOff>47625</xdr:rowOff>
                  </from>
                  <to>
                    <xdr:col>0</xdr:col>
                    <xdr:colOff>1952625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B7074C-D28E-4825-BF74-5F3AA18B03D2}">
          <x14:formula1>
            <xm:f>Configurações!$K$2:$K$3</xm:f>
          </x14:formula1>
          <xm:sqref>B5 B1</xm:sqref>
        </x14:dataValidation>
        <x14:dataValidation type="list" allowBlank="1" showInputMessage="1" showErrorMessage="1" xr:uid="{3EDCDD22-F7B0-4EC3-84DD-65A513C37796}">
          <x14:formula1>
            <xm:f>Configurações!$J$2:$J$3</xm:f>
          </x14:formula1>
          <xm:sqref>B13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225A-FADC-42C9-8417-28E9D10B3CEB}">
  <sheetPr codeName="Planilha15"/>
  <dimension ref="A1:B29"/>
  <sheetViews>
    <sheetView workbookViewId="0">
      <pane xSplit="2" topLeftCell="C1" activePane="topRight" state="frozen"/>
      <selection pane="topRight" activeCell="G12" sqref="G12"/>
    </sheetView>
  </sheetViews>
  <sheetFormatPr defaultRowHeight="15" x14ac:dyDescent="0.25"/>
  <cols>
    <col min="1" max="1" width="30.7109375" customWidth="1"/>
    <col min="2" max="2" width="40.7109375" hidden="1" customWidth="1"/>
  </cols>
  <sheetData>
    <row r="1" spans="1:2" ht="17.25" thickTop="1" thickBot="1" x14ac:dyDescent="0.3">
      <c r="A1" s="116" t="s">
        <v>322</v>
      </c>
      <c r="B1" s="95" t="s">
        <v>31</v>
      </c>
    </row>
    <row r="2" spans="1:2" ht="17.25" thickTop="1" thickBot="1" x14ac:dyDescent="0.3">
      <c r="A2" s="116" t="s">
        <v>290</v>
      </c>
      <c r="B2" s="95" t="s">
        <v>24</v>
      </c>
    </row>
    <row r="3" spans="1:2" ht="17.25" thickTop="1" thickBot="1" x14ac:dyDescent="0.3">
      <c r="A3" s="116" t="s">
        <v>5</v>
      </c>
      <c r="B3" s="96"/>
    </row>
    <row r="4" spans="1:2" ht="17.25" thickTop="1" thickBot="1" x14ac:dyDescent="0.3">
      <c r="A4" s="116" t="s">
        <v>28</v>
      </c>
      <c r="B4" s="96"/>
    </row>
    <row r="5" spans="1:2" ht="17.25" thickTop="1" thickBot="1" x14ac:dyDescent="0.3">
      <c r="A5" s="116" t="s">
        <v>333</v>
      </c>
      <c r="B5" s="96"/>
    </row>
    <row r="6" spans="1:2" ht="17.25" thickTop="1" thickBot="1" x14ac:dyDescent="0.3">
      <c r="A6" s="116" t="s">
        <v>327</v>
      </c>
      <c r="B6" s="95" t="s">
        <v>24</v>
      </c>
    </row>
    <row r="7" spans="1:2" ht="17.25" thickTop="1" thickBot="1" x14ac:dyDescent="0.3">
      <c r="A7" s="116" t="s">
        <v>7</v>
      </c>
      <c r="B7" s="97">
        <f>IF(B6="NÃO",B4,"")</f>
        <v>0</v>
      </c>
    </row>
    <row r="8" spans="1:2" ht="17.25" thickTop="1" thickBot="1" x14ac:dyDescent="0.3">
      <c r="A8" s="116" t="s">
        <v>22</v>
      </c>
      <c r="B8" s="97">
        <f>IF(B6="NÃO",B5,"")</f>
        <v>0</v>
      </c>
    </row>
    <row r="9" spans="1:2" ht="17.25" thickTop="1" thickBot="1" x14ac:dyDescent="0.3">
      <c r="A9" s="116" t="s">
        <v>0</v>
      </c>
      <c r="B9" s="96"/>
    </row>
    <row r="10" spans="1:2" ht="17.25" thickTop="1" thickBot="1" x14ac:dyDescent="0.3">
      <c r="A10" s="116" t="s">
        <v>3</v>
      </c>
      <c r="B10" s="96"/>
    </row>
    <row r="11" spans="1:2" ht="17.25" thickTop="1" thickBot="1" x14ac:dyDescent="0.3">
      <c r="A11" s="116" t="s">
        <v>1</v>
      </c>
      <c r="B11" s="96"/>
    </row>
    <row r="12" spans="1:2" ht="17.25" thickTop="1" thickBot="1" x14ac:dyDescent="0.3">
      <c r="A12" s="105" t="s">
        <v>348</v>
      </c>
      <c r="B12" s="102"/>
    </row>
    <row r="13" spans="1:2" ht="17.25" thickTop="1" thickBot="1" x14ac:dyDescent="0.3">
      <c r="A13" s="105" t="s">
        <v>6</v>
      </c>
      <c r="B13" s="137"/>
    </row>
    <row r="14" spans="1:2" ht="17.25" thickTop="1" thickBot="1" x14ac:dyDescent="0.3">
      <c r="A14" s="105" t="s">
        <v>41</v>
      </c>
      <c r="B14" s="99" t="b">
        <v>0</v>
      </c>
    </row>
    <row r="15" spans="1:2" ht="17.25" thickTop="1" thickBot="1" x14ac:dyDescent="0.3">
      <c r="A15" s="105" t="s">
        <v>8</v>
      </c>
      <c r="B15" s="100"/>
    </row>
    <row r="16" spans="1:2" ht="17.25" thickTop="1" thickBot="1" x14ac:dyDescent="0.3">
      <c r="A16" s="106" t="s">
        <v>300</v>
      </c>
      <c r="B16" s="101"/>
    </row>
    <row r="17" spans="1:2" ht="17.25" thickTop="1" thickBot="1" x14ac:dyDescent="0.3">
      <c r="A17" s="106" t="s">
        <v>299</v>
      </c>
      <c r="B17" s="102"/>
    </row>
    <row r="18" spans="1:2" ht="17.25" thickTop="1" thickBot="1" x14ac:dyDescent="0.3">
      <c r="A18" s="107" t="s">
        <v>21</v>
      </c>
      <c r="B18" s="133" t="e">
        <f ca="1">B19-B13</f>
        <v>#VALUE!</v>
      </c>
    </row>
    <row r="19" spans="1:2" ht="17.25" thickTop="1" thickBot="1" x14ac:dyDescent="0.3">
      <c r="A19" s="107" t="s">
        <v>12</v>
      </c>
      <c r="B19" s="140" t="str">
        <f ca="1">IF(B2="NÃO",GEFIN_SEFAZ(B15,B20,B13,B14),"")</f>
        <v/>
      </c>
    </row>
    <row r="20" spans="1:2" ht="17.25" thickTop="1" thickBot="1" x14ac:dyDescent="0.3">
      <c r="A20" s="122" t="s">
        <v>11</v>
      </c>
      <c r="B20" s="134">
        <f ca="1">TODAY()</f>
        <v>46128</v>
      </c>
    </row>
    <row r="21" spans="1:2" ht="16.5" thickTop="1" x14ac:dyDescent="0.25">
      <c r="A21" s="108" t="s">
        <v>319</v>
      </c>
      <c r="B21" s="129" t="str">
        <f>IdentificarDocumento(B5)</f>
        <v>Inscrição</v>
      </c>
    </row>
    <row r="22" spans="1:2" ht="15.75" x14ac:dyDescent="0.25">
      <c r="A22" s="109" t="s">
        <v>334</v>
      </c>
      <c r="B22" s="130" t="str">
        <f>IdentificarDocumento(B8)</f>
        <v>Inscrição</v>
      </c>
    </row>
    <row r="23" spans="1:2" ht="150" hidden="1" x14ac:dyDescent="0.25">
      <c r="A23" s="117" t="s">
        <v>2</v>
      </c>
      <c r="B23" s="132" t="str">
        <f ca="1">"Restituição de indébito tributário, decorrente de recolhimento indevido ao Tesouro Estadual, conforme Despacho Autorizativo e documentação acostada aos autos SEI nº  "&amp;B3&amp;CHAR(10)&amp;"Contribuinte: "&amp;B4&amp;", inscrita no "&amp;B21&amp;" sob nº: "&amp;B5&amp;CHAR(10)&amp;B1&amp;" referência: "&amp;B12&amp;CHAR(10)&amp;"Valor autorizado a restituir: R$ "&amp;TEXT(B13,"#.##0,00")&amp;CHAR(10)&amp;"Valor atualizado líquido: R$ "&amp;TEXT(B19,"#.##0,00")&amp;CHAR(10)&amp;"Beneficiário da OPE: "&amp;B7&amp;"  "&amp;B22&amp;": "&amp;B8</f>
        <v>Restituição de indébito tributário, decorrente de recolhimento indevido ao Tesouro Estadual, conforme Despacho Autorizativo e documentação acostada aos autos SEI nº  
Contribuinte: , inscrita no Inscrição sob nº: 
DARE referência: 
Valor autorizado a restituir: R$ 0,00
Valor atualizado líquido: R$ 
Beneficiário da OPE: 0  Inscrição: 0</v>
      </c>
    </row>
    <row r="24" spans="1:2" x14ac:dyDescent="0.25">
      <c r="A24" s="123" t="s">
        <v>341</v>
      </c>
      <c r="B24" s="124" t="str">
        <f>NomeUsuario()</f>
        <v>pedro.galvao</v>
      </c>
    </row>
    <row r="27" spans="1:2" x14ac:dyDescent="0.25">
      <c r="A27" s="145"/>
    </row>
    <row r="28" spans="1:2" x14ac:dyDescent="0.25">
      <c r="A28" s="145"/>
    </row>
    <row r="29" spans="1:2" x14ac:dyDescent="0.25">
      <c r="A29" s="145"/>
    </row>
  </sheetData>
  <dataConsolidate/>
  <mergeCells count="1">
    <mergeCell ref="A27:A29"/>
  </mergeCells>
  <conditionalFormatting sqref="B21:B22">
    <cfRule type="cellIs" dxfId="4" priority="35" operator="equal">
      <formula>"Inscrição"</formula>
    </cfRule>
  </conditionalFormatting>
  <conditionalFormatting sqref="B21:B22">
    <cfRule type="cellIs" dxfId="3" priority="31" operator="equal">
      <formula>FALSE</formula>
    </cfRule>
  </conditionalFormatting>
  <conditionalFormatting sqref="B21:B22">
    <cfRule type="cellIs" dxfId="2" priority="32" operator="equal">
      <formula>"CNPJ"</formula>
    </cfRule>
  </conditionalFormatting>
  <conditionalFormatting sqref="B21:B22">
    <cfRule type="cellIs" dxfId="1" priority="33" operator="equal">
      <formula>"CPF"</formula>
    </cfRule>
  </conditionalFormatting>
  <conditionalFormatting sqref="B21:B22">
    <cfRule type="cellIs" dxfId="0" priority="34" operator="equal">
      <formula>"Placa"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0" r:id="rId3" name="Button 4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76200</xdr:colOff>
                    <xdr:row>26</xdr:row>
                    <xdr:rowOff>47625</xdr:rowOff>
                  </from>
                  <to>
                    <xdr:col>0</xdr:col>
                    <xdr:colOff>962025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4" name="Button 5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1057275</xdr:colOff>
                    <xdr:row>26</xdr:row>
                    <xdr:rowOff>47625</xdr:rowOff>
                  </from>
                  <to>
                    <xdr:col>0</xdr:col>
                    <xdr:colOff>1971675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2145A6-DDE7-4822-8ED1-74F7FF6CAFB7}">
          <x14:formula1>
            <xm:f>Configurações!$N$2:$N$4</xm:f>
          </x14:formula1>
          <xm:sqref>B1</xm:sqref>
        </x14:dataValidation>
        <x14:dataValidation type="list" allowBlank="1" showInputMessage="1" showErrorMessage="1" xr:uid="{8EF8F0F9-67E9-4632-9841-643977D5EC7B}">
          <x14:formula1>
            <xm:f>Configurações!$J$2:$J$3</xm:f>
          </x14:formula1>
          <xm:sqref>B14</xm:sqref>
        </x14:dataValidation>
        <x14:dataValidation type="list" allowBlank="1" showInputMessage="1" showErrorMessage="1" xr:uid="{9E530F5A-8A21-427A-9452-3F28E48D623F}">
          <x14:formula1>
            <xm:f>Configurações!$K$2:$K$3</xm:f>
          </x14:formula1>
          <xm:sqref>B6 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3062-FBE5-4D0E-B40A-EFFB8E6DFE63}">
  <sheetPr codeName="Planilha9"/>
  <dimension ref="A1:W2"/>
  <sheetViews>
    <sheetView topLeftCell="P1" workbookViewId="0">
      <selection activeCell="W2" sqref="W2"/>
    </sheetView>
  </sheetViews>
  <sheetFormatPr defaultRowHeight="15" x14ac:dyDescent="0.25"/>
  <cols>
    <col min="1" max="1" width="35.85546875" bestFit="1" customWidth="1"/>
    <col min="2" max="2" width="15.42578125" customWidth="1"/>
    <col min="3" max="3" width="21.5703125" bestFit="1" customWidth="1"/>
    <col min="4" max="4" width="40" customWidth="1"/>
    <col min="5" max="5" width="22.5703125" bestFit="1" customWidth="1"/>
    <col min="6" max="6" width="19.5703125" bestFit="1" customWidth="1"/>
    <col min="7" max="7" width="21.5703125" customWidth="1"/>
    <col min="8" max="8" width="17.28515625" customWidth="1"/>
    <col min="9" max="9" width="20.85546875" bestFit="1" customWidth="1"/>
    <col min="10" max="10" width="24.28515625" customWidth="1"/>
    <col min="11" max="11" width="30.140625" bestFit="1" customWidth="1"/>
    <col min="12" max="12" width="15.7109375" bestFit="1" customWidth="1"/>
    <col min="13" max="13" width="11.28515625" customWidth="1"/>
    <col min="14" max="14" width="9.85546875" customWidth="1"/>
    <col min="15" max="16" width="11.7109375" customWidth="1"/>
    <col min="17" max="17" width="45.28515625" customWidth="1"/>
    <col min="18" max="18" width="30.7109375" customWidth="1"/>
    <col min="19" max="19" width="18.28515625" customWidth="1"/>
    <col min="20" max="20" width="56.85546875" customWidth="1"/>
    <col min="21" max="21" width="16.5703125" customWidth="1"/>
    <col min="22" max="22" width="16.42578125" bestFit="1" customWidth="1"/>
    <col min="23" max="23" width="61.140625" customWidth="1"/>
  </cols>
  <sheetData>
    <row r="1" spans="1:23" x14ac:dyDescent="0.25">
      <c r="A1" t="s">
        <v>290</v>
      </c>
      <c r="B1" t="s">
        <v>5</v>
      </c>
      <c r="C1" t="s">
        <v>28</v>
      </c>
      <c r="D1" t="s">
        <v>333</v>
      </c>
      <c r="E1" t="s">
        <v>327</v>
      </c>
      <c r="F1" t="s">
        <v>7</v>
      </c>
      <c r="G1" t="s">
        <v>22</v>
      </c>
      <c r="H1" t="s">
        <v>0</v>
      </c>
      <c r="I1" t="s">
        <v>3</v>
      </c>
      <c r="J1" t="s">
        <v>1</v>
      </c>
      <c r="K1" t="s">
        <v>31</v>
      </c>
      <c r="L1" t="s">
        <v>6</v>
      </c>
      <c r="M1" t="s">
        <v>41</v>
      </c>
      <c r="N1" t="s">
        <v>8</v>
      </c>
      <c r="O1" s="72" t="s">
        <v>300</v>
      </c>
      <c r="P1" s="72" t="s">
        <v>299</v>
      </c>
      <c r="Q1" t="s">
        <v>21</v>
      </c>
      <c r="R1" t="s">
        <v>12</v>
      </c>
      <c r="S1" t="s">
        <v>11</v>
      </c>
      <c r="T1" t="s">
        <v>319</v>
      </c>
      <c r="U1" t="s">
        <v>334</v>
      </c>
      <c r="V1" t="s">
        <v>2</v>
      </c>
      <c r="W1" t="s">
        <v>341</v>
      </c>
    </row>
    <row r="2" spans="1:23" x14ac:dyDescent="0.25">
      <c r="A2" s="72" t="s">
        <v>24</v>
      </c>
      <c r="B2" s="72"/>
      <c r="C2" s="72"/>
      <c r="D2" s="72"/>
      <c r="E2" t="s">
        <v>24</v>
      </c>
      <c r="F2">
        <v>0</v>
      </c>
      <c r="G2" s="72"/>
      <c r="H2" s="72"/>
      <c r="I2" s="72"/>
      <c r="J2" s="72"/>
      <c r="K2" s="72"/>
      <c r="L2" s="93"/>
      <c r="M2" t="b">
        <v>0</v>
      </c>
      <c r="N2" s="4"/>
      <c r="O2" s="72" t="s">
        <v>328</v>
      </c>
      <c r="P2" s="72" t="s">
        <v>328</v>
      </c>
      <c r="Q2" s="92" t="e">
        <v>#VALUE!</v>
      </c>
      <c r="R2" s="92" t="s">
        <v>335</v>
      </c>
      <c r="S2" s="4">
        <v>46125</v>
      </c>
      <c r="T2" t="s">
        <v>311</v>
      </c>
      <c r="U2" t="s">
        <v>311</v>
      </c>
      <c r="V2" t="s">
        <v>340</v>
      </c>
      <c r="W2" t="s">
        <v>342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C7CE-E50E-4F64-9152-33BB67716E4A}">
  <sheetPr codeName="Planilha6"/>
  <dimension ref="A1:B247"/>
  <sheetViews>
    <sheetView workbookViewId="0">
      <selection activeCell="B18" sqref="B18"/>
    </sheetView>
  </sheetViews>
  <sheetFormatPr defaultRowHeight="15" x14ac:dyDescent="0.25"/>
  <cols>
    <col min="1" max="1" width="9.28515625" customWidth="1"/>
    <col min="2" max="2" width="32" bestFit="1" customWidth="1"/>
  </cols>
  <sheetData>
    <row r="1" spans="1:2" x14ac:dyDescent="0.25">
      <c r="A1" t="s">
        <v>42</v>
      </c>
      <c r="B1" t="s">
        <v>43</v>
      </c>
    </row>
    <row r="2" spans="1:2" x14ac:dyDescent="0.25">
      <c r="A2">
        <v>149600</v>
      </c>
      <c r="B2" t="s">
        <v>44</v>
      </c>
    </row>
    <row r="3" spans="1:2" x14ac:dyDescent="0.25">
      <c r="A3">
        <v>18900</v>
      </c>
      <c r="B3" t="s">
        <v>45</v>
      </c>
    </row>
    <row r="4" spans="1:2" x14ac:dyDescent="0.25">
      <c r="A4">
        <v>32100</v>
      </c>
      <c r="B4" t="s">
        <v>46</v>
      </c>
    </row>
    <row r="5" spans="1:2" x14ac:dyDescent="0.25">
      <c r="A5">
        <v>29100</v>
      </c>
      <c r="B5" t="s">
        <v>47</v>
      </c>
    </row>
    <row r="6" spans="1:2" x14ac:dyDescent="0.25">
      <c r="A6">
        <v>20000</v>
      </c>
      <c r="B6" t="s">
        <v>48</v>
      </c>
    </row>
    <row r="7" spans="1:2" x14ac:dyDescent="0.25">
      <c r="A7">
        <v>33700</v>
      </c>
      <c r="B7" t="s">
        <v>49</v>
      </c>
    </row>
    <row r="8" spans="1:2" x14ac:dyDescent="0.25">
      <c r="A8">
        <v>149400</v>
      </c>
      <c r="B8" t="s">
        <v>50</v>
      </c>
    </row>
    <row r="9" spans="1:2" x14ac:dyDescent="0.25">
      <c r="A9">
        <v>19000</v>
      </c>
      <c r="B9" t="s">
        <v>51</v>
      </c>
    </row>
    <row r="10" spans="1:2" x14ac:dyDescent="0.25">
      <c r="A10">
        <v>39100</v>
      </c>
      <c r="B10" t="s">
        <v>52</v>
      </c>
    </row>
    <row r="11" spans="1:2" x14ac:dyDescent="0.25">
      <c r="A11">
        <v>22300</v>
      </c>
      <c r="B11" t="s">
        <v>53</v>
      </c>
    </row>
    <row r="12" spans="1:2" x14ac:dyDescent="0.25">
      <c r="A12">
        <v>14000</v>
      </c>
      <c r="B12" t="s">
        <v>54</v>
      </c>
    </row>
    <row r="13" spans="1:2" x14ac:dyDescent="0.25">
      <c r="A13">
        <v>15300</v>
      </c>
      <c r="B13" t="s">
        <v>55</v>
      </c>
    </row>
    <row r="14" spans="1:2" x14ac:dyDescent="0.25">
      <c r="A14">
        <v>151400</v>
      </c>
      <c r="B14" t="s">
        <v>56</v>
      </c>
    </row>
    <row r="15" spans="1:2" x14ac:dyDescent="0.25">
      <c r="A15">
        <v>23300</v>
      </c>
      <c r="B15" t="s">
        <v>57</v>
      </c>
    </row>
    <row r="16" spans="1:2" x14ac:dyDescent="0.25">
      <c r="A16">
        <v>23400</v>
      </c>
      <c r="B16" t="s">
        <v>58</v>
      </c>
    </row>
    <row r="17" spans="1:2" x14ac:dyDescent="0.25">
      <c r="A17">
        <v>23500</v>
      </c>
      <c r="B17" t="s">
        <v>59</v>
      </c>
    </row>
    <row r="18" spans="1:2" x14ac:dyDescent="0.25">
      <c r="A18">
        <v>36300</v>
      </c>
      <c r="B18" t="s">
        <v>60</v>
      </c>
    </row>
    <row r="19" spans="1:2" x14ac:dyDescent="0.25">
      <c r="A19">
        <v>23600</v>
      </c>
      <c r="B19" t="s">
        <v>61</v>
      </c>
    </row>
    <row r="20" spans="1:2" x14ac:dyDescent="0.25">
      <c r="A20">
        <v>33800</v>
      </c>
      <c r="B20" t="s">
        <v>62</v>
      </c>
    </row>
    <row r="21" spans="1:2" x14ac:dyDescent="0.25">
      <c r="A21">
        <v>22600</v>
      </c>
      <c r="B21" t="s">
        <v>63</v>
      </c>
    </row>
    <row r="22" spans="1:2" x14ac:dyDescent="0.25">
      <c r="A22">
        <v>32200</v>
      </c>
      <c r="B22" t="s">
        <v>64</v>
      </c>
    </row>
    <row r="23" spans="1:2" x14ac:dyDescent="0.25">
      <c r="A23">
        <v>23700</v>
      </c>
      <c r="B23" t="s">
        <v>65</v>
      </c>
    </row>
    <row r="24" spans="1:2" x14ac:dyDescent="0.25">
      <c r="A24">
        <v>20900</v>
      </c>
      <c r="B24" t="s">
        <v>66</v>
      </c>
    </row>
    <row r="25" spans="1:2" x14ac:dyDescent="0.25">
      <c r="A25">
        <v>33900</v>
      </c>
      <c r="B25" t="s">
        <v>67</v>
      </c>
    </row>
    <row r="26" spans="1:2" x14ac:dyDescent="0.25">
      <c r="A26">
        <v>16700</v>
      </c>
      <c r="B26" t="s">
        <v>68</v>
      </c>
    </row>
    <row r="27" spans="1:2" x14ac:dyDescent="0.25">
      <c r="A27">
        <v>21000</v>
      </c>
      <c r="B27" t="s">
        <v>69</v>
      </c>
    </row>
    <row r="28" spans="1:2" x14ac:dyDescent="0.25">
      <c r="A28">
        <v>16800</v>
      </c>
      <c r="B28" t="s">
        <v>70</v>
      </c>
    </row>
    <row r="29" spans="1:2" x14ac:dyDescent="0.25">
      <c r="A29">
        <v>23800</v>
      </c>
      <c r="B29" t="s">
        <v>71</v>
      </c>
    </row>
    <row r="30" spans="1:2" x14ac:dyDescent="0.25">
      <c r="A30">
        <v>23900</v>
      </c>
      <c r="B30" t="s">
        <v>72</v>
      </c>
    </row>
    <row r="31" spans="1:2" x14ac:dyDescent="0.25">
      <c r="A31">
        <v>21100</v>
      </c>
      <c r="B31" t="s">
        <v>73</v>
      </c>
    </row>
    <row r="32" spans="1:2" x14ac:dyDescent="0.25">
      <c r="A32">
        <v>24000</v>
      </c>
      <c r="B32" t="s">
        <v>74</v>
      </c>
    </row>
    <row r="33" spans="1:2" x14ac:dyDescent="0.25">
      <c r="A33">
        <v>34000</v>
      </c>
      <c r="B33" t="s">
        <v>75</v>
      </c>
    </row>
    <row r="34" spans="1:2" x14ac:dyDescent="0.25">
      <c r="A34">
        <v>21200</v>
      </c>
      <c r="B34" t="s">
        <v>76</v>
      </c>
    </row>
    <row r="35" spans="1:2" x14ac:dyDescent="0.25">
      <c r="A35">
        <v>39200</v>
      </c>
      <c r="B35" t="s">
        <v>77</v>
      </c>
    </row>
    <row r="36" spans="1:2" x14ac:dyDescent="0.25">
      <c r="A36">
        <v>38100</v>
      </c>
      <c r="B36" t="s">
        <v>78</v>
      </c>
    </row>
    <row r="37" spans="1:2" x14ac:dyDescent="0.25">
      <c r="A37">
        <v>151200</v>
      </c>
      <c r="B37" t="s">
        <v>79</v>
      </c>
    </row>
    <row r="38" spans="1:2" x14ac:dyDescent="0.25">
      <c r="A38">
        <v>24100</v>
      </c>
      <c r="B38" t="s">
        <v>80</v>
      </c>
    </row>
    <row r="39" spans="1:2" x14ac:dyDescent="0.25">
      <c r="A39">
        <v>16900</v>
      </c>
      <c r="B39" t="s">
        <v>81</v>
      </c>
    </row>
    <row r="40" spans="1:2" x14ac:dyDescent="0.25">
      <c r="A40">
        <v>39300</v>
      </c>
      <c r="B40" t="s">
        <v>82</v>
      </c>
    </row>
    <row r="41" spans="1:2" x14ac:dyDescent="0.25">
      <c r="A41">
        <v>53400</v>
      </c>
      <c r="B41" t="s">
        <v>83</v>
      </c>
    </row>
    <row r="42" spans="1:2" x14ac:dyDescent="0.25">
      <c r="A42">
        <v>52600</v>
      </c>
      <c r="B42" t="s">
        <v>84</v>
      </c>
    </row>
    <row r="43" spans="1:2" x14ac:dyDescent="0.25">
      <c r="A43">
        <v>19100</v>
      </c>
      <c r="B43" t="s">
        <v>85</v>
      </c>
    </row>
    <row r="44" spans="1:2" x14ac:dyDescent="0.25">
      <c r="A44">
        <v>39400</v>
      </c>
      <c r="B44" t="s">
        <v>86</v>
      </c>
    </row>
    <row r="45" spans="1:2" x14ac:dyDescent="0.25">
      <c r="A45">
        <v>24200</v>
      </c>
      <c r="B45" t="s">
        <v>87</v>
      </c>
    </row>
    <row r="46" spans="1:2" x14ac:dyDescent="0.25">
      <c r="A46">
        <v>39500</v>
      </c>
      <c r="B46" t="s">
        <v>88</v>
      </c>
    </row>
    <row r="47" spans="1:2" x14ac:dyDescent="0.25">
      <c r="A47">
        <v>39600</v>
      </c>
      <c r="B47" t="s">
        <v>89</v>
      </c>
    </row>
    <row r="48" spans="1:2" x14ac:dyDescent="0.25">
      <c r="A48">
        <v>21300</v>
      </c>
      <c r="B48" t="s">
        <v>90</v>
      </c>
    </row>
    <row r="49" spans="1:2" x14ac:dyDescent="0.25">
      <c r="A49">
        <v>34100</v>
      </c>
      <c r="B49" t="s">
        <v>91</v>
      </c>
    </row>
    <row r="50" spans="1:2" x14ac:dyDescent="0.25">
      <c r="A50">
        <v>53100</v>
      </c>
      <c r="B50" t="s">
        <v>92</v>
      </c>
    </row>
    <row r="51" spans="1:2" x14ac:dyDescent="0.25">
      <c r="A51">
        <v>24300</v>
      </c>
      <c r="B51" t="s">
        <v>93</v>
      </c>
    </row>
    <row r="52" spans="1:2" x14ac:dyDescent="0.25">
      <c r="A52">
        <v>11600</v>
      </c>
      <c r="B52" t="s">
        <v>94</v>
      </c>
    </row>
    <row r="53" spans="1:2" x14ac:dyDescent="0.25">
      <c r="A53">
        <v>11700</v>
      </c>
      <c r="B53" t="s">
        <v>95</v>
      </c>
    </row>
    <row r="54" spans="1:2" x14ac:dyDescent="0.25">
      <c r="A54">
        <v>36400</v>
      </c>
      <c r="B54" t="s">
        <v>96</v>
      </c>
    </row>
    <row r="55" spans="1:2" x14ac:dyDescent="0.25">
      <c r="A55">
        <v>175900</v>
      </c>
      <c r="B55" t="s">
        <v>97</v>
      </c>
    </row>
    <row r="56" spans="1:2" x14ac:dyDescent="0.25">
      <c r="A56">
        <v>9400</v>
      </c>
      <c r="B56" t="s">
        <v>98</v>
      </c>
    </row>
    <row r="57" spans="1:2" x14ac:dyDescent="0.25">
      <c r="A57">
        <v>13200</v>
      </c>
      <c r="B57" t="s">
        <v>99</v>
      </c>
    </row>
    <row r="58" spans="1:2" x14ac:dyDescent="0.25">
      <c r="A58">
        <v>24400</v>
      </c>
      <c r="B58" t="s">
        <v>100</v>
      </c>
    </row>
    <row r="59" spans="1:2" x14ac:dyDescent="0.25">
      <c r="A59">
        <v>22400</v>
      </c>
      <c r="B59" t="s">
        <v>101</v>
      </c>
    </row>
    <row r="60" spans="1:2" x14ac:dyDescent="0.25">
      <c r="A60">
        <v>36500</v>
      </c>
      <c r="B60" t="s">
        <v>102</v>
      </c>
    </row>
    <row r="61" spans="1:2" x14ac:dyDescent="0.25">
      <c r="A61">
        <v>24500</v>
      </c>
      <c r="B61" t="s">
        <v>103</v>
      </c>
    </row>
    <row r="62" spans="1:2" x14ac:dyDescent="0.25">
      <c r="A62">
        <v>14100</v>
      </c>
      <c r="B62" t="s">
        <v>104</v>
      </c>
    </row>
    <row r="63" spans="1:2" x14ac:dyDescent="0.25">
      <c r="A63">
        <v>24600</v>
      </c>
      <c r="B63" t="s">
        <v>105</v>
      </c>
    </row>
    <row r="64" spans="1:2" x14ac:dyDescent="0.25">
      <c r="A64">
        <v>35500</v>
      </c>
      <c r="B64" t="s">
        <v>106</v>
      </c>
    </row>
    <row r="65" spans="1:2" x14ac:dyDescent="0.25">
      <c r="A65">
        <v>20400</v>
      </c>
      <c r="B65" t="s">
        <v>107</v>
      </c>
    </row>
    <row r="66" spans="1:2" x14ac:dyDescent="0.25">
      <c r="A66">
        <v>22700</v>
      </c>
      <c r="B66" t="s">
        <v>108</v>
      </c>
    </row>
    <row r="67" spans="1:2" x14ac:dyDescent="0.25">
      <c r="A67">
        <v>22200</v>
      </c>
      <c r="B67" t="s">
        <v>109</v>
      </c>
    </row>
    <row r="68" spans="1:2" x14ac:dyDescent="0.25">
      <c r="A68">
        <v>14500</v>
      </c>
      <c r="B68" t="s">
        <v>110</v>
      </c>
    </row>
    <row r="69" spans="1:2" x14ac:dyDescent="0.25">
      <c r="A69">
        <v>24700</v>
      </c>
      <c r="B69" t="s">
        <v>111</v>
      </c>
    </row>
    <row r="70" spans="1:2" x14ac:dyDescent="0.25">
      <c r="A70">
        <v>19200</v>
      </c>
      <c r="B70" t="s">
        <v>112</v>
      </c>
    </row>
    <row r="71" spans="1:2" x14ac:dyDescent="0.25">
      <c r="A71">
        <v>36600</v>
      </c>
      <c r="B71" t="s">
        <v>113</v>
      </c>
    </row>
    <row r="72" spans="1:2" x14ac:dyDescent="0.25">
      <c r="A72">
        <v>19300</v>
      </c>
      <c r="B72" t="s">
        <v>114</v>
      </c>
    </row>
    <row r="73" spans="1:2" x14ac:dyDescent="0.25">
      <c r="A73">
        <v>34200</v>
      </c>
      <c r="B73" t="s">
        <v>115</v>
      </c>
    </row>
    <row r="74" spans="1:2" x14ac:dyDescent="0.25">
      <c r="A74">
        <v>11800</v>
      </c>
      <c r="B74" t="s">
        <v>116</v>
      </c>
    </row>
    <row r="75" spans="1:2" x14ac:dyDescent="0.25">
      <c r="A75">
        <v>34300</v>
      </c>
      <c r="B75" t="s">
        <v>117</v>
      </c>
    </row>
    <row r="76" spans="1:2" x14ac:dyDescent="0.25">
      <c r="A76">
        <v>36700</v>
      </c>
      <c r="B76" t="s">
        <v>118</v>
      </c>
    </row>
    <row r="77" spans="1:2" x14ac:dyDescent="0.25">
      <c r="A77">
        <v>15400</v>
      </c>
      <c r="B77" t="s">
        <v>119</v>
      </c>
    </row>
    <row r="78" spans="1:2" x14ac:dyDescent="0.25">
      <c r="A78">
        <v>24800</v>
      </c>
      <c r="B78" t="s">
        <v>120</v>
      </c>
    </row>
    <row r="79" spans="1:2" x14ac:dyDescent="0.25">
      <c r="A79">
        <v>36800</v>
      </c>
      <c r="B79" t="s">
        <v>121</v>
      </c>
    </row>
    <row r="80" spans="1:2" x14ac:dyDescent="0.25">
      <c r="A80">
        <v>21400</v>
      </c>
      <c r="B80" t="s">
        <v>122</v>
      </c>
    </row>
    <row r="81" spans="1:2" x14ac:dyDescent="0.25">
      <c r="A81">
        <v>15600</v>
      </c>
      <c r="B81" t="s">
        <v>123</v>
      </c>
    </row>
    <row r="82" spans="1:2" x14ac:dyDescent="0.25">
      <c r="A82">
        <v>21500</v>
      </c>
      <c r="B82" t="s">
        <v>124</v>
      </c>
    </row>
    <row r="83" spans="1:2" x14ac:dyDescent="0.25">
      <c r="A83">
        <v>35600</v>
      </c>
      <c r="B83" t="s">
        <v>125</v>
      </c>
    </row>
    <row r="84" spans="1:2" x14ac:dyDescent="0.25">
      <c r="A84">
        <v>34400</v>
      </c>
      <c r="B84" t="s">
        <v>126</v>
      </c>
    </row>
    <row r="85" spans="1:2" x14ac:dyDescent="0.25">
      <c r="A85">
        <v>11900</v>
      </c>
      <c r="B85" t="s">
        <v>127</v>
      </c>
    </row>
    <row r="86" spans="1:2" x14ac:dyDescent="0.25">
      <c r="A86">
        <v>17600</v>
      </c>
      <c r="B86" t="s">
        <v>128</v>
      </c>
    </row>
    <row r="87" spans="1:2" x14ac:dyDescent="0.25">
      <c r="A87">
        <v>24900</v>
      </c>
      <c r="B87" t="s">
        <v>129</v>
      </c>
    </row>
    <row r="88" spans="1:2" x14ac:dyDescent="0.25">
      <c r="A88">
        <v>25000</v>
      </c>
      <c r="B88" t="s">
        <v>130</v>
      </c>
    </row>
    <row r="89" spans="1:2" x14ac:dyDescent="0.25">
      <c r="A89">
        <v>15500</v>
      </c>
      <c r="B89" t="s">
        <v>131</v>
      </c>
    </row>
    <row r="90" spans="1:2" x14ac:dyDescent="0.25">
      <c r="A90">
        <v>19400</v>
      </c>
      <c r="B90" t="s">
        <v>132</v>
      </c>
    </row>
    <row r="91" spans="1:2" x14ac:dyDescent="0.25">
      <c r="A91">
        <v>12000</v>
      </c>
      <c r="B91" t="s">
        <v>133</v>
      </c>
    </row>
    <row r="92" spans="1:2" x14ac:dyDescent="0.25">
      <c r="A92">
        <v>175400</v>
      </c>
      <c r="B92" t="s">
        <v>134</v>
      </c>
    </row>
    <row r="93" spans="1:2" x14ac:dyDescent="0.25">
      <c r="A93">
        <v>25100</v>
      </c>
      <c r="B93" t="s">
        <v>135</v>
      </c>
    </row>
    <row r="94" spans="1:2" x14ac:dyDescent="0.25">
      <c r="A94">
        <v>36900</v>
      </c>
      <c r="B94" t="s">
        <v>136</v>
      </c>
    </row>
    <row r="95" spans="1:2" x14ac:dyDescent="0.25">
      <c r="A95">
        <v>25200</v>
      </c>
      <c r="B95" t="s">
        <v>137</v>
      </c>
    </row>
    <row r="96" spans="1:2" x14ac:dyDescent="0.25">
      <c r="A96">
        <v>25300</v>
      </c>
      <c r="B96" t="s">
        <v>138</v>
      </c>
    </row>
    <row r="97" spans="1:2" x14ac:dyDescent="0.25">
      <c r="A97">
        <v>25400</v>
      </c>
      <c r="B97" t="s">
        <v>139</v>
      </c>
    </row>
    <row r="98" spans="1:2" x14ac:dyDescent="0.25">
      <c r="A98">
        <v>17000</v>
      </c>
      <c r="B98" t="s">
        <v>140</v>
      </c>
    </row>
    <row r="99" spans="1:2" x14ac:dyDescent="0.25">
      <c r="A99">
        <v>39700</v>
      </c>
      <c r="B99" t="s">
        <v>141</v>
      </c>
    </row>
    <row r="100" spans="1:2" x14ac:dyDescent="0.25">
      <c r="A100">
        <v>40900</v>
      </c>
      <c r="B100" t="s">
        <v>142</v>
      </c>
    </row>
    <row r="101" spans="1:2" x14ac:dyDescent="0.25">
      <c r="A101">
        <v>34500</v>
      </c>
      <c r="B101" t="s">
        <v>143</v>
      </c>
    </row>
    <row r="102" spans="1:2" x14ac:dyDescent="0.25">
      <c r="A102">
        <v>53000</v>
      </c>
      <c r="B102" t="s">
        <v>144</v>
      </c>
    </row>
    <row r="103" spans="1:2" x14ac:dyDescent="0.25">
      <c r="A103">
        <v>15700</v>
      </c>
      <c r="B103" t="s">
        <v>145</v>
      </c>
    </row>
    <row r="104" spans="1:2" x14ac:dyDescent="0.25">
      <c r="A104">
        <v>13600</v>
      </c>
      <c r="B104" t="s">
        <v>146</v>
      </c>
    </row>
    <row r="105" spans="1:2" x14ac:dyDescent="0.25">
      <c r="A105">
        <v>25500</v>
      </c>
      <c r="B105" t="s">
        <v>147</v>
      </c>
    </row>
    <row r="106" spans="1:2" x14ac:dyDescent="0.25">
      <c r="A106">
        <v>34600</v>
      </c>
      <c r="B106" t="s">
        <v>148</v>
      </c>
    </row>
    <row r="107" spans="1:2" x14ac:dyDescent="0.25">
      <c r="A107">
        <v>25600</v>
      </c>
      <c r="B107" t="s">
        <v>149</v>
      </c>
    </row>
    <row r="108" spans="1:2" x14ac:dyDescent="0.25">
      <c r="A108">
        <v>15800</v>
      </c>
      <c r="B108" t="s">
        <v>150</v>
      </c>
    </row>
    <row r="109" spans="1:2" x14ac:dyDescent="0.25">
      <c r="A109">
        <v>52900</v>
      </c>
      <c r="B109" t="s">
        <v>151</v>
      </c>
    </row>
    <row r="110" spans="1:2" x14ac:dyDescent="0.25">
      <c r="A110">
        <v>32300</v>
      </c>
      <c r="B110" t="s">
        <v>152</v>
      </c>
    </row>
    <row r="111" spans="1:2" x14ac:dyDescent="0.25">
      <c r="A111">
        <v>25700</v>
      </c>
      <c r="B111" t="s">
        <v>153</v>
      </c>
    </row>
    <row r="112" spans="1:2" x14ac:dyDescent="0.25">
      <c r="A112">
        <v>37000</v>
      </c>
      <c r="B112" t="s">
        <v>154</v>
      </c>
    </row>
    <row r="113" spans="1:2" x14ac:dyDescent="0.25">
      <c r="A113">
        <v>175300</v>
      </c>
      <c r="B113" t="s">
        <v>155</v>
      </c>
    </row>
    <row r="114" spans="1:2" x14ac:dyDescent="0.25">
      <c r="A114">
        <v>25800</v>
      </c>
      <c r="B114" t="s">
        <v>156</v>
      </c>
    </row>
    <row r="115" spans="1:2" x14ac:dyDescent="0.25">
      <c r="A115">
        <v>25900</v>
      </c>
      <c r="B115" t="s">
        <v>157</v>
      </c>
    </row>
    <row r="116" spans="1:2" x14ac:dyDescent="0.25">
      <c r="A116">
        <v>26000</v>
      </c>
      <c r="B116" t="s">
        <v>158</v>
      </c>
    </row>
    <row r="117" spans="1:2" x14ac:dyDescent="0.25">
      <c r="A117">
        <v>29200</v>
      </c>
      <c r="B117" t="s">
        <v>159</v>
      </c>
    </row>
    <row r="118" spans="1:2" x14ac:dyDescent="0.25">
      <c r="A118">
        <v>26100</v>
      </c>
      <c r="B118" t="s">
        <v>160</v>
      </c>
    </row>
    <row r="119" spans="1:2" x14ac:dyDescent="0.25">
      <c r="A119">
        <v>39800</v>
      </c>
      <c r="B119" t="s">
        <v>161</v>
      </c>
    </row>
    <row r="120" spans="1:2" x14ac:dyDescent="0.25">
      <c r="A120">
        <v>26200</v>
      </c>
      <c r="B120" t="s">
        <v>162</v>
      </c>
    </row>
    <row r="121" spans="1:2" x14ac:dyDescent="0.25">
      <c r="A121">
        <v>17100</v>
      </c>
      <c r="B121" t="s">
        <v>163</v>
      </c>
    </row>
    <row r="122" spans="1:2" x14ac:dyDescent="0.25">
      <c r="A122">
        <v>26300</v>
      </c>
      <c r="B122" t="s">
        <v>164</v>
      </c>
    </row>
    <row r="123" spans="1:2" x14ac:dyDescent="0.25">
      <c r="A123">
        <v>39900</v>
      </c>
      <c r="B123" t="s">
        <v>165</v>
      </c>
    </row>
    <row r="124" spans="1:2" x14ac:dyDescent="0.25">
      <c r="A124">
        <v>26400</v>
      </c>
      <c r="B124" t="s">
        <v>166</v>
      </c>
    </row>
    <row r="125" spans="1:2" x14ac:dyDescent="0.25">
      <c r="A125">
        <v>40000</v>
      </c>
      <c r="B125" t="s">
        <v>167</v>
      </c>
    </row>
    <row r="126" spans="1:2" x14ac:dyDescent="0.25">
      <c r="A126">
        <v>26500</v>
      </c>
      <c r="B126" t="s">
        <v>168</v>
      </c>
    </row>
    <row r="127" spans="1:2" x14ac:dyDescent="0.25">
      <c r="A127">
        <v>32400</v>
      </c>
      <c r="B127" t="s">
        <v>169</v>
      </c>
    </row>
    <row r="128" spans="1:2" x14ac:dyDescent="0.25">
      <c r="A128">
        <v>26600</v>
      </c>
      <c r="B128" t="s">
        <v>170</v>
      </c>
    </row>
    <row r="129" spans="1:2" x14ac:dyDescent="0.25">
      <c r="A129">
        <v>32500</v>
      </c>
      <c r="B129" t="s">
        <v>171</v>
      </c>
    </row>
    <row r="130" spans="1:2" x14ac:dyDescent="0.25">
      <c r="A130">
        <v>26700</v>
      </c>
      <c r="B130" t="s">
        <v>172</v>
      </c>
    </row>
    <row r="131" spans="1:2" x14ac:dyDescent="0.25">
      <c r="A131">
        <v>22500</v>
      </c>
      <c r="B131" t="s">
        <v>173</v>
      </c>
    </row>
    <row r="132" spans="1:2" x14ac:dyDescent="0.25">
      <c r="A132">
        <v>40100</v>
      </c>
      <c r="B132" t="s">
        <v>174</v>
      </c>
    </row>
    <row r="133" spans="1:2" x14ac:dyDescent="0.25">
      <c r="A133">
        <v>17200</v>
      </c>
      <c r="B133" t="s">
        <v>175</v>
      </c>
    </row>
    <row r="134" spans="1:2" x14ac:dyDescent="0.25">
      <c r="A134">
        <v>176000</v>
      </c>
      <c r="B134" t="s">
        <v>176</v>
      </c>
    </row>
    <row r="135" spans="1:2" x14ac:dyDescent="0.25">
      <c r="A135">
        <v>37100</v>
      </c>
      <c r="B135" t="s">
        <v>177</v>
      </c>
    </row>
    <row r="136" spans="1:2" x14ac:dyDescent="0.25">
      <c r="A136">
        <v>19500</v>
      </c>
      <c r="B136" t="s">
        <v>178</v>
      </c>
    </row>
    <row r="137" spans="1:2" x14ac:dyDescent="0.25">
      <c r="A137">
        <v>34700</v>
      </c>
      <c r="B137" t="s">
        <v>179</v>
      </c>
    </row>
    <row r="138" spans="1:2" x14ac:dyDescent="0.25">
      <c r="A138">
        <v>15900</v>
      </c>
      <c r="B138" t="s">
        <v>180</v>
      </c>
    </row>
    <row r="139" spans="1:2" x14ac:dyDescent="0.25">
      <c r="A139">
        <v>12100</v>
      </c>
      <c r="B139" t="s">
        <v>181</v>
      </c>
    </row>
    <row r="140" spans="1:2" x14ac:dyDescent="0.25">
      <c r="A140">
        <v>34800</v>
      </c>
      <c r="B140" t="s">
        <v>182</v>
      </c>
    </row>
    <row r="141" spans="1:2" x14ac:dyDescent="0.25">
      <c r="A141">
        <v>17400</v>
      </c>
      <c r="B141" t="s">
        <v>183</v>
      </c>
    </row>
    <row r="142" spans="1:2" x14ac:dyDescent="0.25">
      <c r="A142">
        <v>40200</v>
      </c>
      <c r="B142" t="s">
        <v>184</v>
      </c>
    </row>
    <row r="143" spans="1:2" x14ac:dyDescent="0.25">
      <c r="A143">
        <v>20100</v>
      </c>
      <c r="B143" t="s">
        <v>185</v>
      </c>
    </row>
    <row r="144" spans="1:2" x14ac:dyDescent="0.25">
      <c r="A144">
        <v>12200</v>
      </c>
      <c r="B144" t="s">
        <v>186</v>
      </c>
    </row>
    <row r="145" spans="1:2" x14ac:dyDescent="0.25">
      <c r="A145">
        <v>21600</v>
      </c>
      <c r="B145" t="s">
        <v>187</v>
      </c>
    </row>
    <row r="146" spans="1:2" x14ac:dyDescent="0.25">
      <c r="A146">
        <v>26800</v>
      </c>
      <c r="B146" t="s">
        <v>188</v>
      </c>
    </row>
    <row r="147" spans="1:2" x14ac:dyDescent="0.25">
      <c r="A147">
        <v>9700</v>
      </c>
      <c r="B147" t="s">
        <v>189</v>
      </c>
    </row>
    <row r="148" spans="1:2" x14ac:dyDescent="0.25">
      <c r="A148">
        <v>21700</v>
      </c>
      <c r="B148" t="s">
        <v>190</v>
      </c>
    </row>
    <row r="149" spans="1:2" x14ac:dyDescent="0.25">
      <c r="A149">
        <v>33000</v>
      </c>
      <c r="B149" t="s">
        <v>191</v>
      </c>
    </row>
    <row r="150" spans="1:2" x14ac:dyDescent="0.25">
      <c r="A150">
        <v>53200</v>
      </c>
      <c r="B150" t="s">
        <v>192</v>
      </c>
    </row>
    <row r="151" spans="1:2" x14ac:dyDescent="0.25">
      <c r="A151">
        <v>40300</v>
      </c>
      <c r="B151" t="s">
        <v>193</v>
      </c>
    </row>
    <row r="152" spans="1:2" x14ac:dyDescent="0.25">
      <c r="A152">
        <v>29300</v>
      </c>
      <c r="B152" t="s">
        <v>194</v>
      </c>
    </row>
    <row r="153" spans="1:2" x14ac:dyDescent="0.25">
      <c r="A153">
        <v>26900</v>
      </c>
      <c r="B153" t="s">
        <v>195</v>
      </c>
    </row>
    <row r="154" spans="1:2" x14ac:dyDescent="0.25">
      <c r="A154">
        <v>17300</v>
      </c>
      <c r="B154" t="s">
        <v>196</v>
      </c>
    </row>
    <row r="155" spans="1:2" x14ac:dyDescent="0.25">
      <c r="A155">
        <v>12300</v>
      </c>
      <c r="B155" t="s">
        <v>197</v>
      </c>
    </row>
    <row r="156" spans="1:2" x14ac:dyDescent="0.25">
      <c r="A156">
        <v>12400</v>
      </c>
      <c r="B156" t="s">
        <v>198</v>
      </c>
    </row>
    <row r="157" spans="1:2" x14ac:dyDescent="0.25">
      <c r="A157">
        <v>27000</v>
      </c>
      <c r="B157" t="s">
        <v>199</v>
      </c>
    </row>
    <row r="158" spans="1:2" x14ac:dyDescent="0.25">
      <c r="A158">
        <v>27100</v>
      </c>
      <c r="B158" t="s">
        <v>200</v>
      </c>
    </row>
    <row r="159" spans="1:2" x14ac:dyDescent="0.25">
      <c r="A159">
        <v>14200</v>
      </c>
      <c r="B159" t="s">
        <v>201</v>
      </c>
    </row>
    <row r="160" spans="1:2" x14ac:dyDescent="0.25">
      <c r="A160">
        <v>27200</v>
      </c>
      <c r="B160" t="s">
        <v>202</v>
      </c>
    </row>
    <row r="161" spans="1:2" x14ac:dyDescent="0.25">
      <c r="A161">
        <v>37200</v>
      </c>
      <c r="B161" t="s">
        <v>203</v>
      </c>
    </row>
    <row r="162" spans="1:2" x14ac:dyDescent="0.25">
      <c r="A162">
        <v>12500</v>
      </c>
      <c r="B162" t="s">
        <v>204</v>
      </c>
    </row>
    <row r="163" spans="1:2" x14ac:dyDescent="0.25">
      <c r="A163">
        <v>27300</v>
      </c>
      <c r="B163" t="s">
        <v>205</v>
      </c>
    </row>
    <row r="164" spans="1:2" x14ac:dyDescent="0.25">
      <c r="A164">
        <v>20800</v>
      </c>
      <c r="B164" t="s">
        <v>206</v>
      </c>
    </row>
    <row r="165" spans="1:2" x14ac:dyDescent="0.25">
      <c r="A165">
        <v>14300</v>
      </c>
      <c r="B165" t="s">
        <v>207</v>
      </c>
    </row>
    <row r="166" spans="1:2" x14ac:dyDescent="0.25">
      <c r="A166">
        <v>27400</v>
      </c>
      <c r="B166" t="s">
        <v>208</v>
      </c>
    </row>
    <row r="167" spans="1:2" x14ac:dyDescent="0.25">
      <c r="A167">
        <v>27500</v>
      </c>
      <c r="B167" t="s">
        <v>209</v>
      </c>
    </row>
    <row r="168" spans="1:2" x14ac:dyDescent="0.25">
      <c r="A168">
        <v>148500</v>
      </c>
      <c r="B168" t="s">
        <v>210</v>
      </c>
    </row>
    <row r="169" spans="1:2" x14ac:dyDescent="0.25">
      <c r="A169">
        <v>13300</v>
      </c>
      <c r="B169" t="s">
        <v>211</v>
      </c>
    </row>
    <row r="170" spans="1:2" x14ac:dyDescent="0.25">
      <c r="A170">
        <v>37300</v>
      </c>
      <c r="B170" t="s">
        <v>212</v>
      </c>
    </row>
    <row r="171" spans="1:2" x14ac:dyDescent="0.25">
      <c r="A171">
        <v>27600</v>
      </c>
      <c r="B171" t="s">
        <v>213</v>
      </c>
    </row>
    <row r="172" spans="1:2" x14ac:dyDescent="0.25">
      <c r="A172">
        <v>37400</v>
      </c>
      <c r="B172" t="s">
        <v>214</v>
      </c>
    </row>
    <row r="173" spans="1:2" x14ac:dyDescent="0.25">
      <c r="A173">
        <v>19600</v>
      </c>
      <c r="B173" t="s">
        <v>215</v>
      </c>
    </row>
    <row r="174" spans="1:2" x14ac:dyDescent="0.25">
      <c r="A174">
        <v>22100</v>
      </c>
      <c r="B174" t="s">
        <v>216</v>
      </c>
    </row>
    <row r="175" spans="1:2" x14ac:dyDescent="0.25">
      <c r="A175">
        <v>34900</v>
      </c>
      <c r="B175" t="s">
        <v>217</v>
      </c>
    </row>
    <row r="176" spans="1:2" x14ac:dyDescent="0.25">
      <c r="A176">
        <v>37500</v>
      </c>
      <c r="B176" t="s">
        <v>218</v>
      </c>
    </row>
    <row r="177" spans="1:2" x14ac:dyDescent="0.25">
      <c r="A177">
        <v>32600</v>
      </c>
      <c r="B177" t="s">
        <v>219</v>
      </c>
    </row>
    <row r="178" spans="1:2" x14ac:dyDescent="0.25">
      <c r="A178">
        <v>40400</v>
      </c>
      <c r="B178" t="s">
        <v>220</v>
      </c>
    </row>
    <row r="179" spans="1:2" x14ac:dyDescent="0.25">
      <c r="A179">
        <v>40500</v>
      </c>
      <c r="B179" t="s">
        <v>221</v>
      </c>
    </row>
    <row r="180" spans="1:2" x14ac:dyDescent="0.25">
      <c r="A180">
        <v>32700</v>
      </c>
      <c r="B180" t="s">
        <v>222</v>
      </c>
    </row>
    <row r="181" spans="1:2" x14ac:dyDescent="0.25">
      <c r="A181">
        <v>22900</v>
      </c>
      <c r="B181" t="s">
        <v>223</v>
      </c>
    </row>
    <row r="182" spans="1:2" x14ac:dyDescent="0.25">
      <c r="A182">
        <v>27700</v>
      </c>
      <c r="B182" t="s">
        <v>224</v>
      </c>
    </row>
    <row r="183" spans="1:2" x14ac:dyDescent="0.25">
      <c r="A183">
        <v>12600</v>
      </c>
      <c r="B183" t="s">
        <v>225</v>
      </c>
    </row>
    <row r="184" spans="1:2" x14ac:dyDescent="0.25">
      <c r="A184">
        <v>35000</v>
      </c>
      <c r="B184" t="s">
        <v>226</v>
      </c>
    </row>
    <row r="185" spans="1:2" x14ac:dyDescent="0.25">
      <c r="A185">
        <v>21800</v>
      </c>
      <c r="B185" t="s">
        <v>227</v>
      </c>
    </row>
    <row r="186" spans="1:2" x14ac:dyDescent="0.25">
      <c r="A186">
        <v>19700</v>
      </c>
      <c r="B186" t="s">
        <v>228</v>
      </c>
    </row>
    <row r="187" spans="1:2" x14ac:dyDescent="0.25">
      <c r="A187">
        <v>37600</v>
      </c>
      <c r="B187" t="s">
        <v>229</v>
      </c>
    </row>
    <row r="188" spans="1:2" x14ac:dyDescent="0.25">
      <c r="A188">
        <v>19800</v>
      </c>
      <c r="B188" t="s">
        <v>230</v>
      </c>
    </row>
    <row r="189" spans="1:2" x14ac:dyDescent="0.25">
      <c r="A189">
        <v>35100</v>
      </c>
      <c r="B189" t="s">
        <v>231</v>
      </c>
    </row>
    <row r="190" spans="1:2" x14ac:dyDescent="0.25">
      <c r="A190">
        <v>12700</v>
      </c>
      <c r="B190" t="s">
        <v>232</v>
      </c>
    </row>
    <row r="191" spans="1:2" x14ac:dyDescent="0.25">
      <c r="A191">
        <v>149500</v>
      </c>
      <c r="B191" t="s">
        <v>233</v>
      </c>
    </row>
    <row r="192" spans="1:2" x14ac:dyDescent="0.25">
      <c r="A192">
        <v>21900</v>
      </c>
      <c r="B192" t="s">
        <v>234</v>
      </c>
    </row>
    <row r="193" spans="1:2" x14ac:dyDescent="0.25">
      <c r="A193">
        <v>16000</v>
      </c>
      <c r="B193" t="s">
        <v>235</v>
      </c>
    </row>
    <row r="194" spans="1:2" x14ac:dyDescent="0.25">
      <c r="A194">
        <v>22800</v>
      </c>
      <c r="B194" t="s">
        <v>236</v>
      </c>
    </row>
    <row r="195" spans="1:2" x14ac:dyDescent="0.25">
      <c r="A195">
        <v>40600</v>
      </c>
      <c r="B195" t="s">
        <v>237</v>
      </c>
    </row>
    <row r="196" spans="1:2" x14ac:dyDescent="0.25">
      <c r="A196">
        <v>27800</v>
      </c>
      <c r="B196" t="s">
        <v>238</v>
      </c>
    </row>
    <row r="197" spans="1:2" x14ac:dyDescent="0.25">
      <c r="A197">
        <v>27900</v>
      </c>
      <c r="B197" t="s">
        <v>239</v>
      </c>
    </row>
    <row r="198" spans="1:2" x14ac:dyDescent="0.25">
      <c r="A198">
        <v>35700</v>
      </c>
      <c r="B198" t="s">
        <v>240</v>
      </c>
    </row>
    <row r="199" spans="1:2" x14ac:dyDescent="0.25">
      <c r="A199">
        <v>32800</v>
      </c>
      <c r="B199" t="s">
        <v>241</v>
      </c>
    </row>
    <row r="200" spans="1:2" x14ac:dyDescent="0.25">
      <c r="A200">
        <v>28000</v>
      </c>
      <c r="B200" t="s">
        <v>242</v>
      </c>
    </row>
    <row r="201" spans="1:2" x14ac:dyDescent="0.25">
      <c r="A201">
        <v>28100</v>
      </c>
      <c r="B201" t="s">
        <v>243</v>
      </c>
    </row>
    <row r="202" spans="1:2" x14ac:dyDescent="0.25">
      <c r="A202">
        <v>28200</v>
      </c>
      <c r="B202" t="s">
        <v>244</v>
      </c>
    </row>
    <row r="203" spans="1:2" x14ac:dyDescent="0.25">
      <c r="A203">
        <v>35200</v>
      </c>
      <c r="B203" t="s">
        <v>245</v>
      </c>
    </row>
    <row r="204" spans="1:2" x14ac:dyDescent="0.25">
      <c r="A204">
        <v>17500</v>
      </c>
      <c r="B204" t="s">
        <v>246</v>
      </c>
    </row>
    <row r="205" spans="1:2" x14ac:dyDescent="0.25">
      <c r="A205">
        <v>40700</v>
      </c>
      <c r="B205" t="s">
        <v>247</v>
      </c>
    </row>
    <row r="206" spans="1:2" x14ac:dyDescent="0.25">
      <c r="A206">
        <v>28300</v>
      </c>
      <c r="B206" t="s">
        <v>248</v>
      </c>
    </row>
    <row r="207" spans="1:2" x14ac:dyDescent="0.25">
      <c r="A207">
        <v>22000</v>
      </c>
      <c r="B207" t="s">
        <v>249</v>
      </c>
    </row>
    <row r="208" spans="1:2" x14ac:dyDescent="0.25">
      <c r="A208">
        <v>151300</v>
      </c>
      <c r="B208" t="s">
        <v>250</v>
      </c>
    </row>
    <row r="209" spans="1:2" x14ac:dyDescent="0.25">
      <c r="A209">
        <v>28400</v>
      </c>
      <c r="B209" t="s">
        <v>251</v>
      </c>
    </row>
    <row r="210" spans="1:2" x14ac:dyDescent="0.25">
      <c r="A210">
        <v>12800</v>
      </c>
      <c r="B210" t="s">
        <v>252</v>
      </c>
    </row>
    <row r="211" spans="1:2" x14ac:dyDescent="0.25">
      <c r="A211">
        <v>12900</v>
      </c>
      <c r="B211" t="s">
        <v>253</v>
      </c>
    </row>
    <row r="212" spans="1:2" x14ac:dyDescent="0.25">
      <c r="A212">
        <v>53300</v>
      </c>
      <c r="B212" t="s">
        <v>254</v>
      </c>
    </row>
    <row r="213" spans="1:2" x14ac:dyDescent="0.25">
      <c r="A213">
        <v>20700</v>
      </c>
      <c r="B213" t="s">
        <v>255</v>
      </c>
    </row>
    <row r="214" spans="1:2" x14ac:dyDescent="0.25">
      <c r="A214">
        <v>19900</v>
      </c>
      <c r="B214" t="s">
        <v>256</v>
      </c>
    </row>
    <row r="215" spans="1:2" x14ac:dyDescent="0.25">
      <c r="A215">
        <v>16100</v>
      </c>
      <c r="B215" t="s">
        <v>257</v>
      </c>
    </row>
    <row r="216" spans="1:2" x14ac:dyDescent="0.25">
      <c r="A216">
        <v>28500</v>
      </c>
      <c r="B216" t="s">
        <v>258</v>
      </c>
    </row>
    <row r="217" spans="1:2" x14ac:dyDescent="0.25">
      <c r="A217">
        <v>33200</v>
      </c>
      <c r="B217" t="s">
        <v>259</v>
      </c>
    </row>
    <row r="218" spans="1:2" x14ac:dyDescent="0.25">
      <c r="A218">
        <v>14400</v>
      </c>
      <c r="B218" t="s">
        <v>260</v>
      </c>
    </row>
    <row r="219" spans="1:2" x14ac:dyDescent="0.25">
      <c r="A219">
        <v>28600</v>
      </c>
      <c r="B219" t="s">
        <v>261</v>
      </c>
    </row>
    <row r="220" spans="1:2" x14ac:dyDescent="0.25">
      <c r="A220">
        <v>29400</v>
      </c>
      <c r="B220" t="s">
        <v>262</v>
      </c>
    </row>
    <row r="221" spans="1:2" x14ac:dyDescent="0.25">
      <c r="A221">
        <v>13000</v>
      </c>
      <c r="B221" t="s">
        <v>263</v>
      </c>
    </row>
    <row r="222" spans="1:2" x14ac:dyDescent="0.25">
      <c r="A222">
        <v>38200</v>
      </c>
      <c r="B222" t="s">
        <v>264</v>
      </c>
    </row>
    <row r="223" spans="1:2" x14ac:dyDescent="0.25">
      <c r="A223">
        <v>151500</v>
      </c>
      <c r="B223" t="s">
        <v>265</v>
      </c>
    </row>
    <row r="224" spans="1:2" x14ac:dyDescent="0.25">
      <c r="A224">
        <v>40800</v>
      </c>
      <c r="B224" t="s">
        <v>266</v>
      </c>
    </row>
    <row r="225" spans="1:2" x14ac:dyDescent="0.25">
      <c r="A225">
        <v>29500</v>
      </c>
      <c r="B225" t="s">
        <v>267</v>
      </c>
    </row>
    <row r="226" spans="1:2" x14ac:dyDescent="0.25">
      <c r="A226">
        <v>32900</v>
      </c>
      <c r="B226" t="s">
        <v>268</v>
      </c>
    </row>
    <row r="227" spans="1:2" x14ac:dyDescent="0.25">
      <c r="A227">
        <v>37700</v>
      </c>
      <c r="B227" t="s">
        <v>269</v>
      </c>
    </row>
    <row r="228" spans="1:2" x14ac:dyDescent="0.25">
      <c r="A228">
        <v>16300</v>
      </c>
      <c r="B228" t="s">
        <v>270</v>
      </c>
    </row>
    <row r="229" spans="1:2" x14ac:dyDescent="0.25">
      <c r="A229">
        <v>16200</v>
      </c>
      <c r="B229" t="s">
        <v>271</v>
      </c>
    </row>
    <row r="230" spans="1:2" x14ac:dyDescent="0.25">
      <c r="A230">
        <v>28700</v>
      </c>
      <c r="B230" t="s">
        <v>272</v>
      </c>
    </row>
    <row r="231" spans="1:2" x14ac:dyDescent="0.25">
      <c r="A231">
        <v>14600</v>
      </c>
      <c r="B231" t="s">
        <v>273</v>
      </c>
    </row>
    <row r="232" spans="1:2" x14ac:dyDescent="0.25">
      <c r="A232">
        <v>52500</v>
      </c>
      <c r="B232" t="s">
        <v>274</v>
      </c>
    </row>
    <row r="233" spans="1:2" x14ac:dyDescent="0.25">
      <c r="A233">
        <v>37800</v>
      </c>
      <c r="B233" t="s">
        <v>275</v>
      </c>
    </row>
    <row r="234" spans="1:2" x14ac:dyDescent="0.25">
      <c r="A234">
        <v>28800</v>
      </c>
      <c r="B234" t="s">
        <v>276</v>
      </c>
    </row>
    <row r="235" spans="1:2" x14ac:dyDescent="0.25">
      <c r="A235">
        <v>13500</v>
      </c>
      <c r="B235" t="s">
        <v>277</v>
      </c>
    </row>
    <row r="236" spans="1:2" x14ac:dyDescent="0.25">
      <c r="A236">
        <v>28900</v>
      </c>
      <c r="B236" t="s">
        <v>278</v>
      </c>
    </row>
    <row r="237" spans="1:2" x14ac:dyDescent="0.25">
      <c r="A237">
        <v>33100</v>
      </c>
      <c r="B237" t="s">
        <v>279</v>
      </c>
    </row>
    <row r="238" spans="1:2" x14ac:dyDescent="0.25">
      <c r="A238">
        <v>52700</v>
      </c>
      <c r="B238" t="s">
        <v>280</v>
      </c>
    </row>
    <row r="239" spans="1:2" x14ac:dyDescent="0.25">
      <c r="A239">
        <v>13100</v>
      </c>
      <c r="B239" t="s">
        <v>281</v>
      </c>
    </row>
    <row r="240" spans="1:2" x14ac:dyDescent="0.25">
      <c r="A240">
        <v>29000</v>
      </c>
      <c r="B240" t="s">
        <v>282</v>
      </c>
    </row>
    <row r="241" spans="1:2" x14ac:dyDescent="0.25">
      <c r="A241">
        <v>37900</v>
      </c>
      <c r="B241" t="s">
        <v>283</v>
      </c>
    </row>
    <row r="242" spans="1:2" x14ac:dyDescent="0.25">
      <c r="A242">
        <v>148400</v>
      </c>
      <c r="B242" t="s">
        <v>284</v>
      </c>
    </row>
    <row r="243" spans="1:2" x14ac:dyDescent="0.25">
      <c r="A243">
        <v>35300</v>
      </c>
      <c r="B243" t="s">
        <v>285</v>
      </c>
    </row>
    <row r="244" spans="1:2" x14ac:dyDescent="0.25">
      <c r="A244">
        <v>38000</v>
      </c>
      <c r="B244" t="s">
        <v>286</v>
      </c>
    </row>
    <row r="245" spans="1:2" x14ac:dyDescent="0.25">
      <c r="A245">
        <v>35400</v>
      </c>
      <c r="B245" t="s">
        <v>287</v>
      </c>
    </row>
    <row r="246" spans="1:2" x14ac:dyDescent="0.25">
      <c r="A246">
        <v>52800</v>
      </c>
      <c r="B246" t="s">
        <v>288</v>
      </c>
    </row>
    <row r="247" spans="1:2" x14ac:dyDescent="0.25">
      <c r="A247">
        <v>151900</v>
      </c>
      <c r="B247" t="s">
        <v>289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565"/>
  <sheetViews>
    <sheetView topLeftCell="A537" workbookViewId="0">
      <selection activeCell="E565" sqref="E565"/>
    </sheetView>
  </sheetViews>
  <sheetFormatPr defaultRowHeight="15" x14ac:dyDescent="0.25"/>
  <cols>
    <col min="1" max="1" width="18.7109375" style="5" customWidth="1"/>
    <col min="2" max="2" width="26.85546875" style="5" customWidth="1"/>
    <col min="4" max="4" width="10.7109375" bestFit="1" customWidth="1"/>
  </cols>
  <sheetData>
    <row r="1" spans="1:4" ht="45" x14ac:dyDescent="0.25">
      <c r="A1" s="1" t="s">
        <v>13</v>
      </c>
      <c r="B1" s="1" t="s">
        <v>14</v>
      </c>
    </row>
    <row r="2" spans="1:4" x14ac:dyDescent="0.25">
      <c r="A2" s="2">
        <v>28946</v>
      </c>
      <c r="B2" s="3">
        <v>3.45</v>
      </c>
      <c r="D2" s="4"/>
    </row>
    <row r="3" spans="1:4" x14ac:dyDescent="0.25">
      <c r="A3" s="2">
        <v>28976</v>
      </c>
      <c r="B3" s="3">
        <v>1.76</v>
      </c>
    </row>
    <row r="4" spans="1:4" x14ac:dyDescent="0.25">
      <c r="A4" s="2">
        <v>29007</v>
      </c>
      <c r="B4" s="3">
        <v>3</v>
      </c>
    </row>
    <row r="5" spans="1:4" x14ac:dyDescent="0.25">
      <c r="A5" s="2">
        <v>29037</v>
      </c>
      <c r="B5" s="3">
        <v>5.36</v>
      </c>
    </row>
    <row r="6" spans="1:4" x14ac:dyDescent="0.25">
      <c r="A6" s="2">
        <v>29068</v>
      </c>
      <c r="B6" s="3">
        <v>5.79</v>
      </c>
    </row>
    <row r="7" spans="1:4" x14ac:dyDescent="0.25">
      <c r="A7" s="2">
        <v>29099</v>
      </c>
      <c r="B7" s="3">
        <v>6.61</v>
      </c>
    </row>
    <row r="8" spans="1:4" x14ac:dyDescent="0.25">
      <c r="A8" s="2">
        <v>29129</v>
      </c>
      <c r="B8" s="3">
        <v>5.0599999999999996</v>
      </c>
    </row>
    <row r="9" spans="1:4" x14ac:dyDescent="0.25">
      <c r="A9" s="2">
        <v>29160</v>
      </c>
      <c r="B9" s="3">
        <v>6.1</v>
      </c>
    </row>
    <row r="10" spans="1:4" x14ac:dyDescent="0.25">
      <c r="A10" s="2">
        <v>29190</v>
      </c>
      <c r="B10" s="3">
        <v>4.51</v>
      </c>
    </row>
    <row r="11" spans="1:4" x14ac:dyDescent="0.25">
      <c r="A11" s="2">
        <v>29221</v>
      </c>
      <c r="B11" s="3">
        <v>6.56</v>
      </c>
    </row>
    <row r="12" spans="1:4" x14ac:dyDescent="0.25">
      <c r="A12" s="2">
        <v>29252</v>
      </c>
      <c r="B12" s="3">
        <v>4.1500000000000004</v>
      </c>
    </row>
    <row r="13" spans="1:4" x14ac:dyDescent="0.25">
      <c r="A13" s="2">
        <v>29281</v>
      </c>
      <c r="B13" s="3">
        <v>5.12</v>
      </c>
    </row>
    <row r="14" spans="1:4" x14ac:dyDescent="0.25">
      <c r="A14" s="2">
        <v>29312</v>
      </c>
      <c r="B14" s="3">
        <v>4.8499999999999996</v>
      </c>
    </row>
    <row r="15" spans="1:4" x14ac:dyDescent="0.25">
      <c r="A15" s="2">
        <v>29342</v>
      </c>
      <c r="B15" s="3">
        <v>5.53</v>
      </c>
    </row>
    <row r="16" spans="1:4" x14ac:dyDescent="0.25">
      <c r="A16" s="2">
        <v>29373</v>
      </c>
      <c r="B16" s="3">
        <v>5.52</v>
      </c>
    </row>
    <row r="17" spans="1:2" x14ac:dyDescent="0.25">
      <c r="A17" s="2">
        <v>29403</v>
      </c>
      <c r="B17" s="3">
        <v>5.51</v>
      </c>
    </row>
    <row r="18" spans="1:2" x14ac:dyDescent="0.25">
      <c r="A18" s="2">
        <v>29434</v>
      </c>
      <c r="B18" s="3">
        <v>5.15</v>
      </c>
    </row>
    <row r="19" spans="1:2" x14ac:dyDescent="0.25">
      <c r="A19" s="2">
        <v>29465</v>
      </c>
      <c r="B19" s="3">
        <v>4.45</v>
      </c>
    </row>
    <row r="20" spans="1:2" x14ac:dyDescent="0.25">
      <c r="A20" s="2">
        <v>29495</v>
      </c>
      <c r="B20" s="3">
        <v>9.65</v>
      </c>
    </row>
    <row r="21" spans="1:2" x14ac:dyDescent="0.25">
      <c r="A21" s="2">
        <v>29526</v>
      </c>
      <c r="B21" s="3">
        <v>8.0299999999999994</v>
      </c>
    </row>
    <row r="22" spans="1:2" x14ac:dyDescent="0.25">
      <c r="A22" s="2">
        <v>29556</v>
      </c>
      <c r="B22" s="3">
        <v>6.8</v>
      </c>
    </row>
    <row r="23" spans="1:2" x14ac:dyDescent="0.25">
      <c r="A23" s="2">
        <v>29587</v>
      </c>
      <c r="B23" s="3">
        <v>6.21</v>
      </c>
    </row>
    <row r="24" spans="1:2" x14ac:dyDescent="0.25">
      <c r="A24" s="2">
        <v>29618</v>
      </c>
      <c r="B24" s="3">
        <v>6.05</v>
      </c>
    </row>
    <row r="25" spans="1:2" x14ac:dyDescent="0.25">
      <c r="A25" s="2">
        <v>29646</v>
      </c>
      <c r="B25" s="3">
        <v>5.35</v>
      </c>
    </row>
    <row r="26" spans="1:2" x14ac:dyDescent="0.25">
      <c r="A26" s="2">
        <v>29677</v>
      </c>
      <c r="B26" s="3">
        <v>6.54</v>
      </c>
    </row>
    <row r="27" spans="1:2" x14ac:dyDescent="0.25">
      <c r="A27" s="2">
        <v>29707</v>
      </c>
      <c r="B27" s="3">
        <v>5.51</v>
      </c>
    </row>
    <row r="28" spans="1:2" x14ac:dyDescent="0.25">
      <c r="A28" s="2">
        <v>29738</v>
      </c>
      <c r="B28" s="3">
        <v>5.07</v>
      </c>
    </row>
    <row r="29" spans="1:2" x14ac:dyDescent="0.25">
      <c r="A29" s="2">
        <v>29768</v>
      </c>
      <c r="B29" s="3">
        <v>6.2</v>
      </c>
    </row>
    <row r="30" spans="1:2" x14ac:dyDescent="0.25">
      <c r="A30" s="2">
        <v>29799</v>
      </c>
      <c r="B30" s="3">
        <v>6.12</v>
      </c>
    </row>
    <row r="31" spans="1:2" x14ac:dyDescent="0.25">
      <c r="A31" s="2">
        <v>29830</v>
      </c>
      <c r="B31" s="3">
        <v>5.28</v>
      </c>
    </row>
    <row r="32" spans="1:2" x14ac:dyDescent="0.25">
      <c r="A32" s="2">
        <v>29860</v>
      </c>
      <c r="B32" s="3">
        <v>4.62</v>
      </c>
    </row>
    <row r="33" spans="1:2" x14ac:dyDescent="0.25">
      <c r="A33" s="2">
        <v>29891</v>
      </c>
      <c r="B33" s="3">
        <v>5.23</v>
      </c>
    </row>
    <row r="34" spans="1:2" x14ac:dyDescent="0.25">
      <c r="A34" s="2">
        <v>29921</v>
      </c>
      <c r="B34" s="3">
        <v>5.69</v>
      </c>
    </row>
    <row r="35" spans="1:2" x14ac:dyDescent="0.25">
      <c r="A35" s="2">
        <v>29952</v>
      </c>
      <c r="B35" s="3">
        <v>6.71</v>
      </c>
    </row>
    <row r="36" spans="1:2" x14ac:dyDescent="0.25">
      <c r="A36" s="2">
        <v>29983</v>
      </c>
      <c r="B36" s="3">
        <v>6.58</v>
      </c>
    </row>
    <row r="37" spans="1:2" x14ac:dyDescent="0.25">
      <c r="A37" s="2">
        <v>30011</v>
      </c>
      <c r="B37" s="3">
        <v>5.24</v>
      </c>
    </row>
    <row r="38" spans="1:2" x14ac:dyDescent="0.25">
      <c r="A38" s="2">
        <v>30042</v>
      </c>
      <c r="B38" s="3">
        <v>5.65</v>
      </c>
    </row>
    <row r="39" spans="1:2" x14ac:dyDescent="0.25">
      <c r="A39" s="2">
        <v>30072</v>
      </c>
      <c r="B39" s="3">
        <v>6.66</v>
      </c>
    </row>
    <row r="40" spans="1:2" x14ac:dyDescent="0.25">
      <c r="A40" s="2">
        <v>30103</v>
      </c>
      <c r="B40" s="3">
        <v>7.14</v>
      </c>
    </row>
    <row r="41" spans="1:2" x14ac:dyDescent="0.25">
      <c r="A41" s="2">
        <v>30133</v>
      </c>
      <c r="B41" s="3">
        <v>6.39</v>
      </c>
    </row>
    <row r="42" spans="1:2" x14ac:dyDescent="0.25">
      <c r="A42" s="2">
        <v>30164</v>
      </c>
      <c r="B42" s="3">
        <v>5.57</v>
      </c>
    </row>
    <row r="43" spans="1:2" x14ac:dyDescent="0.25">
      <c r="A43" s="2">
        <v>30195</v>
      </c>
      <c r="B43" s="3">
        <v>4.3</v>
      </c>
    </row>
    <row r="44" spans="1:2" x14ac:dyDescent="0.25">
      <c r="A44" s="2">
        <v>30225</v>
      </c>
      <c r="B44" s="3">
        <v>3.91</v>
      </c>
    </row>
    <row r="45" spans="1:2" x14ac:dyDescent="0.25">
      <c r="A45" s="2">
        <v>30256</v>
      </c>
      <c r="B45" s="3">
        <v>5.26</v>
      </c>
    </row>
    <row r="46" spans="1:2" x14ac:dyDescent="0.25">
      <c r="A46" s="2">
        <v>30286</v>
      </c>
      <c r="B46" s="3">
        <v>8.19</v>
      </c>
    </row>
    <row r="47" spans="1:2" x14ac:dyDescent="0.25">
      <c r="A47" s="2">
        <v>30317</v>
      </c>
      <c r="B47" s="3">
        <v>9.14</v>
      </c>
    </row>
    <row r="48" spans="1:2" x14ac:dyDescent="0.25">
      <c r="A48" s="2">
        <v>30348</v>
      </c>
      <c r="B48" s="3">
        <v>8.0399999999999991</v>
      </c>
    </row>
    <row r="49" spans="1:2" x14ac:dyDescent="0.25">
      <c r="A49" s="2">
        <v>30376</v>
      </c>
      <c r="B49" s="3">
        <v>7.22</v>
      </c>
    </row>
    <row r="50" spans="1:2" x14ac:dyDescent="0.25">
      <c r="A50" s="2">
        <v>30407</v>
      </c>
      <c r="B50" s="3">
        <v>6.57</v>
      </c>
    </row>
    <row r="51" spans="1:2" x14ac:dyDescent="0.25">
      <c r="A51" s="2">
        <v>30437</v>
      </c>
      <c r="B51" s="3">
        <v>6.71</v>
      </c>
    </row>
    <row r="52" spans="1:2" x14ac:dyDescent="0.25">
      <c r="A52" s="2">
        <v>30468</v>
      </c>
      <c r="B52" s="3">
        <v>10.83</v>
      </c>
    </row>
    <row r="53" spans="1:2" x14ac:dyDescent="0.25">
      <c r="A53" s="2">
        <v>30498</v>
      </c>
      <c r="B53" s="3">
        <v>11.43</v>
      </c>
    </row>
    <row r="54" spans="1:2" x14ac:dyDescent="0.25">
      <c r="A54" s="2">
        <v>30529</v>
      </c>
      <c r="B54" s="3">
        <v>9.85</v>
      </c>
    </row>
    <row r="55" spans="1:2" x14ac:dyDescent="0.25">
      <c r="A55" s="2">
        <v>30560</v>
      </c>
      <c r="B55" s="3">
        <v>11.27</v>
      </c>
    </row>
    <row r="56" spans="1:2" x14ac:dyDescent="0.25">
      <c r="A56" s="2">
        <v>30590</v>
      </c>
      <c r="B56" s="3">
        <v>10.1</v>
      </c>
    </row>
    <row r="57" spans="1:2" x14ac:dyDescent="0.25">
      <c r="A57" s="2">
        <v>30621</v>
      </c>
      <c r="B57" s="3">
        <v>7.37</v>
      </c>
    </row>
    <row r="58" spans="1:2" x14ac:dyDescent="0.25">
      <c r="A58" s="2">
        <v>30651</v>
      </c>
      <c r="B58" s="3">
        <v>8.34</v>
      </c>
    </row>
    <row r="59" spans="1:2" x14ac:dyDescent="0.25">
      <c r="A59" s="2">
        <v>30682</v>
      </c>
      <c r="B59" s="3">
        <v>9.39</v>
      </c>
    </row>
    <row r="60" spans="1:2" x14ac:dyDescent="0.25">
      <c r="A60" s="2">
        <v>30713</v>
      </c>
      <c r="B60" s="3">
        <v>9.74</v>
      </c>
    </row>
    <row r="61" spans="1:2" x14ac:dyDescent="0.25">
      <c r="A61" s="2">
        <v>30742</v>
      </c>
      <c r="B61" s="3">
        <v>9.83</v>
      </c>
    </row>
    <row r="62" spans="1:2" x14ac:dyDescent="0.25">
      <c r="A62" s="2">
        <v>30773</v>
      </c>
      <c r="B62" s="3">
        <v>9.52</v>
      </c>
    </row>
    <row r="63" spans="1:2" x14ac:dyDescent="0.25">
      <c r="A63" s="2">
        <v>30803</v>
      </c>
      <c r="B63" s="3">
        <v>8.7100000000000009</v>
      </c>
    </row>
    <row r="64" spans="1:2" x14ac:dyDescent="0.25">
      <c r="A64" s="2">
        <v>30834</v>
      </c>
      <c r="B64" s="3">
        <v>9.9600000000000009</v>
      </c>
    </row>
    <row r="65" spans="1:2" x14ac:dyDescent="0.25">
      <c r="A65" s="2">
        <v>30864</v>
      </c>
      <c r="B65" s="3">
        <v>9.11</v>
      </c>
    </row>
    <row r="66" spans="1:2" x14ac:dyDescent="0.25">
      <c r="A66" s="2">
        <v>30895</v>
      </c>
      <c r="B66" s="3">
        <v>8.57</v>
      </c>
    </row>
    <row r="67" spans="1:2" x14ac:dyDescent="0.25">
      <c r="A67" s="2">
        <v>30926</v>
      </c>
      <c r="B67" s="3">
        <v>11.1</v>
      </c>
    </row>
    <row r="68" spans="1:2" x14ac:dyDescent="0.25">
      <c r="A68" s="2">
        <v>30956</v>
      </c>
      <c r="B68" s="3">
        <v>10.49</v>
      </c>
    </row>
    <row r="69" spans="1:2" x14ac:dyDescent="0.25">
      <c r="A69" s="2">
        <v>30987</v>
      </c>
      <c r="B69" s="3">
        <v>10.33</v>
      </c>
    </row>
    <row r="70" spans="1:2" x14ac:dyDescent="0.25">
      <c r="A70" s="2">
        <v>31017</v>
      </c>
      <c r="B70" s="3">
        <v>11.62</v>
      </c>
    </row>
    <row r="71" spans="1:2" x14ac:dyDescent="0.25">
      <c r="A71" s="2">
        <v>31048</v>
      </c>
      <c r="B71" s="3">
        <v>11.84</v>
      </c>
    </row>
    <row r="72" spans="1:2" x14ac:dyDescent="0.25">
      <c r="A72" s="2">
        <v>31079</v>
      </c>
      <c r="B72" s="3">
        <v>10.95</v>
      </c>
    </row>
    <row r="73" spans="1:2" x14ac:dyDescent="0.25">
      <c r="A73" s="2">
        <v>31107</v>
      </c>
      <c r="B73" s="3">
        <v>9.94</v>
      </c>
    </row>
    <row r="74" spans="1:2" x14ac:dyDescent="0.25">
      <c r="A74" s="2">
        <v>31138</v>
      </c>
      <c r="B74" s="3">
        <v>8.58</v>
      </c>
    </row>
    <row r="75" spans="1:2" x14ac:dyDescent="0.25">
      <c r="A75" s="2">
        <v>31168</v>
      </c>
      <c r="B75" s="3">
        <v>7.2</v>
      </c>
    </row>
    <row r="76" spans="1:2" x14ac:dyDescent="0.25">
      <c r="A76" s="2">
        <v>31199</v>
      </c>
      <c r="B76" s="3">
        <v>8.33</v>
      </c>
    </row>
    <row r="77" spans="1:2" x14ac:dyDescent="0.25">
      <c r="A77" s="2">
        <v>31229</v>
      </c>
      <c r="B77" s="3">
        <v>10.08</v>
      </c>
    </row>
    <row r="78" spans="1:2" x14ac:dyDescent="0.25">
      <c r="A78" s="2">
        <v>31260</v>
      </c>
      <c r="B78" s="3">
        <v>11.61</v>
      </c>
    </row>
    <row r="79" spans="1:2" x14ac:dyDescent="0.25">
      <c r="A79" s="2">
        <v>31291</v>
      </c>
      <c r="B79" s="3">
        <v>10.09</v>
      </c>
    </row>
    <row r="80" spans="1:2" x14ac:dyDescent="0.25">
      <c r="A80" s="2">
        <v>31321</v>
      </c>
      <c r="B80" s="3">
        <v>10.25</v>
      </c>
    </row>
    <row r="81" spans="1:2" x14ac:dyDescent="0.25">
      <c r="A81" s="2">
        <v>31352</v>
      </c>
      <c r="B81" s="3">
        <v>14.18</v>
      </c>
    </row>
    <row r="82" spans="1:2" x14ac:dyDescent="0.25">
      <c r="A82" s="2">
        <v>31382</v>
      </c>
      <c r="B82" s="3">
        <v>15.75</v>
      </c>
    </row>
    <row r="83" spans="1:2" x14ac:dyDescent="0.25">
      <c r="A83" s="2">
        <v>31413</v>
      </c>
      <c r="B83" s="3">
        <v>15.01</v>
      </c>
    </row>
    <row r="84" spans="1:2" x14ac:dyDescent="0.25">
      <c r="A84" s="2">
        <v>31444</v>
      </c>
      <c r="B84" s="3">
        <v>12.46</v>
      </c>
    </row>
    <row r="85" spans="1:2" x14ac:dyDescent="0.25">
      <c r="A85" s="2">
        <v>31472</v>
      </c>
      <c r="B85" s="3">
        <v>3.18</v>
      </c>
    </row>
    <row r="86" spans="1:2" x14ac:dyDescent="0.25">
      <c r="A86" s="2">
        <v>31503</v>
      </c>
      <c r="B86" s="3">
        <v>0.43</v>
      </c>
    </row>
    <row r="87" spans="1:2" x14ac:dyDescent="0.25">
      <c r="A87" s="2">
        <v>31533</v>
      </c>
      <c r="B87" s="3">
        <v>1.08</v>
      </c>
    </row>
    <row r="88" spans="1:2" x14ac:dyDescent="0.25">
      <c r="A88" s="2">
        <v>31564</v>
      </c>
      <c r="B88" s="3">
        <v>0.97</v>
      </c>
    </row>
    <row r="89" spans="1:2" x14ac:dyDescent="0.25">
      <c r="A89" s="2">
        <v>31594</v>
      </c>
      <c r="B89" s="3">
        <v>0.91</v>
      </c>
    </row>
    <row r="90" spans="1:2" x14ac:dyDescent="0.25">
      <c r="A90" s="2">
        <v>31625</v>
      </c>
      <c r="B90" s="3">
        <v>1.43</v>
      </c>
    </row>
    <row r="91" spans="1:2" x14ac:dyDescent="0.25">
      <c r="A91" s="2">
        <v>31656</v>
      </c>
      <c r="B91" s="3">
        <v>1.19</v>
      </c>
    </row>
    <row r="92" spans="1:2" x14ac:dyDescent="0.25">
      <c r="A92" s="2">
        <v>31686</v>
      </c>
      <c r="B92" s="3">
        <v>1.43</v>
      </c>
    </row>
    <row r="93" spans="1:2" x14ac:dyDescent="0.25">
      <c r="A93" s="2">
        <v>31717</v>
      </c>
      <c r="B93" s="3">
        <v>3.29</v>
      </c>
    </row>
    <row r="94" spans="1:2" x14ac:dyDescent="0.25">
      <c r="A94" s="2">
        <v>31747</v>
      </c>
      <c r="B94" s="3">
        <v>7.27</v>
      </c>
    </row>
    <row r="95" spans="1:2" x14ac:dyDescent="0.25">
      <c r="A95" s="2">
        <v>31778</v>
      </c>
      <c r="B95" s="3">
        <v>16.82</v>
      </c>
    </row>
    <row r="96" spans="1:2" x14ac:dyDescent="0.25">
      <c r="A96" s="2">
        <v>31809</v>
      </c>
      <c r="B96" s="3">
        <v>13.94</v>
      </c>
    </row>
    <row r="97" spans="1:2" x14ac:dyDescent="0.25">
      <c r="A97" s="2">
        <v>31837</v>
      </c>
      <c r="B97" s="3">
        <v>14.4</v>
      </c>
    </row>
    <row r="98" spans="1:2" x14ac:dyDescent="0.25">
      <c r="A98" s="2">
        <v>31868</v>
      </c>
      <c r="B98" s="3">
        <v>20.96</v>
      </c>
    </row>
    <row r="99" spans="1:2" x14ac:dyDescent="0.25">
      <c r="A99" s="2">
        <v>31898</v>
      </c>
      <c r="B99" s="3">
        <v>23.14</v>
      </c>
    </row>
    <row r="100" spans="1:2" x14ac:dyDescent="0.25">
      <c r="A100" s="2">
        <v>31929</v>
      </c>
      <c r="B100" s="3">
        <v>21.3</v>
      </c>
    </row>
    <row r="101" spans="1:2" x14ac:dyDescent="0.25">
      <c r="A101" s="2">
        <v>31959</v>
      </c>
      <c r="B101" s="3">
        <v>9.93</v>
      </c>
    </row>
    <row r="102" spans="1:2" x14ac:dyDescent="0.25">
      <c r="A102" s="2">
        <v>31990</v>
      </c>
      <c r="B102" s="3">
        <v>5.09</v>
      </c>
    </row>
    <row r="103" spans="1:2" x14ac:dyDescent="0.25">
      <c r="A103" s="2">
        <v>32021</v>
      </c>
      <c r="B103" s="3">
        <v>7.15</v>
      </c>
    </row>
    <row r="104" spans="1:2" x14ac:dyDescent="0.25">
      <c r="A104" s="2">
        <v>32051</v>
      </c>
      <c r="B104" s="3">
        <v>10.88</v>
      </c>
    </row>
    <row r="105" spans="1:2" x14ac:dyDescent="0.25">
      <c r="A105" s="2">
        <v>32082</v>
      </c>
      <c r="B105" s="3">
        <v>14.93</v>
      </c>
    </row>
    <row r="106" spans="1:2" x14ac:dyDescent="0.25">
      <c r="A106" s="2">
        <v>32112</v>
      </c>
      <c r="B106" s="3">
        <v>13.97</v>
      </c>
    </row>
    <row r="107" spans="1:2" x14ac:dyDescent="0.25">
      <c r="A107" s="2">
        <v>32143</v>
      </c>
      <c r="B107" s="3">
        <v>18.97</v>
      </c>
    </row>
    <row r="108" spans="1:2" x14ac:dyDescent="0.25">
      <c r="A108" s="2">
        <v>32174</v>
      </c>
      <c r="B108" s="3">
        <v>15.81</v>
      </c>
    </row>
    <row r="109" spans="1:2" x14ac:dyDescent="0.25">
      <c r="A109" s="2">
        <v>32203</v>
      </c>
      <c r="B109" s="3">
        <v>18.09</v>
      </c>
    </row>
    <row r="110" spans="1:2" x14ac:dyDescent="0.25">
      <c r="A110" s="2">
        <v>32234</v>
      </c>
      <c r="B110" s="3">
        <v>18.329999999999998</v>
      </c>
    </row>
    <row r="111" spans="1:2" x14ac:dyDescent="0.25">
      <c r="A111" s="2">
        <v>32264</v>
      </c>
      <c r="B111" s="3">
        <v>18.239999999999998</v>
      </c>
    </row>
    <row r="112" spans="1:2" x14ac:dyDescent="0.25">
      <c r="A112" s="2">
        <v>32295</v>
      </c>
      <c r="B112" s="3">
        <v>22.28</v>
      </c>
    </row>
    <row r="113" spans="1:2" x14ac:dyDescent="0.25">
      <c r="A113" s="2">
        <v>32325</v>
      </c>
      <c r="B113" s="3">
        <v>23.02</v>
      </c>
    </row>
    <row r="114" spans="1:2" x14ac:dyDescent="0.25">
      <c r="A114" s="2">
        <v>32356</v>
      </c>
      <c r="B114" s="3">
        <v>20.63</v>
      </c>
    </row>
    <row r="115" spans="1:2" x14ac:dyDescent="0.25">
      <c r="A115" s="2">
        <v>32387</v>
      </c>
      <c r="B115" s="3">
        <v>26.93</v>
      </c>
    </row>
    <row r="116" spans="1:2" x14ac:dyDescent="0.25">
      <c r="A116" s="2">
        <v>32417</v>
      </c>
      <c r="B116" s="3">
        <v>26.69</v>
      </c>
    </row>
    <row r="117" spans="1:2" x14ac:dyDescent="0.25">
      <c r="A117" s="2">
        <v>32448</v>
      </c>
      <c r="B117" s="3">
        <v>28.15</v>
      </c>
    </row>
    <row r="118" spans="1:2" x14ac:dyDescent="0.25">
      <c r="A118" s="2">
        <v>32478</v>
      </c>
      <c r="B118" s="3">
        <v>28.43</v>
      </c>
    </row>
    <row r="119" spans="1:2" x14ac:dyDescent="0.25">
      <c r="A119" s="2">
        <v>32509</v>
      </c>
      <c r="B119" s="3">
        <v>35.479999999999997</v>
      </c>
    </row>
    <row r="120" spans="1:2" x14ac:dyDescent="0.25">
      <c r="A120" s="2">
        <v>32540</v>
      </c>
      <c r="B120" s="3">
        <v>16.350000000000001</v>
      </c>
    </row>
    <row r="121" spans="1:2" x14ac:dyDescent="0.25">
      <c r="A121" s="2">
        <v>32568</v>
      </c>
      <c r="B121" s="3">
        <v>5.9</v>
      </c>
    </row>
    <row r="122" spans="1:2" x14ac:dyDescent="0.25">
      <c r="A122" s="2">
        <v>32599</v>
      </c>
      <c r="B122" s="3">
        <v>8.06</v>
      </c>
    </row>
    <row r="123" spans="1:2" x14ac:dyDescent="0.25">
      <c r="A123" s="2">
        <v>32629</v>
      </c>
      <c r="B123" s="3">
        <v>16.670000000000002</v>
      </c>
    </row>
    <row r="124" spans="1:2" x14ac:dyDescent="0.25">
      <c r="A124" s="2">
        <v>32660</v>
      </c>
      <c r="B124" s="3">
        <v>29.4</v>
      </c>
    </row>
    <row r="125" spans="1:2" x14ac:dyDescent="0.25">
      <c r="A125" s="2">
        <v>32690</v>
      </c>
      <c r="B125" s="3">
        <v>27.4</v>
      </c>
    </row>
    <row r="126" spans="1:2" x14ac:dyDescent="0.25">
      <c r="A126" s="2">
        <v>32721</v>
      </c>
      <c r="B126" s="3">
        <v>33.18</v>
      </c>
    </row>
    <row r="127" spans="1:2" x14ac:dyDescent="0.25">
      <c r="A127" s="2">
        <v>32752</v>
      </c>
      <c r="B127" s="3">
        <v>36.35</v>
      </c>
    </row>
    <row r="128" spans="1:2" x14ac:dyDescent="0.25">
      <c r="A128" s="2">
        <v>32782</v>
      </c>
      <c r="B128" s="3">
        <v>38.76</v>
      </c>
    </row>
    <row r="129" spans="1:2" x14ac:dyDescent="0.25">
      <c r="A129" s="2">
        <v>32813</v>
      </c>
      <c r="B129" s="3">
        <v>48.47</v>
      </c>
    </row>
    <row r="130" spans="1:2" x14ac:dyDescent="0.25">
      <c r="A130" s="2">
        <v>32843</v>
      </c>
      <c r="B130" s="3">
        <v>51.28</v>
      </c>
    </row>
    <row r="131" spans="1:2" x14ac:dyDescent="0.25">
      <c r="A131" s="2">
        <v>32874</v>
      </c>
      <c r="B131" s="3">
        <v>68.19</v>
      </c>
    </row>
    <row r="132" spans="1:2" x14ac:dyDescent="0.25">
      <c r="A132" s="2">
        <v>32905</v>
      </c>
      <c r="B132" s="3">
        <v>73.989999999999995</v>
      </c>
    </row>
    <row r="133" spans="1:2" x14ac:dyDescent="0.25">
      <c r="A133" s="2">
        <v>32933</v>
      </c>
      <c r="B133" s="3">
        <v>82.18</v>
      </c>
    </row>
    <row r="134" spans="1:2" x14ac:dyDescent="0.25">
      <c r="A134" s="2">
        <v>32964</v>
      </c>
      <c r="B134" s="3">
        <v>14.67</v>
      </c>
    </row>
    <row r="135" spans="1:2" x14ac:dyDescent="0.25">
      <c r="A135" s="2">
        <v>32994</v>
      </c>
      <c r="B135" s="3">
        <v>7.31</v>
      </c>
    </row>
    <row r="136" spans="1:2" x14ac:dyDescent="0.25">
      <c r="A136" s="2">
        <v>33025</v>
      </c>
      <c r="B136" s="3">
        <v>11.64</v>
      </c>
    </row>
    <row r="137" spans="1:2" x14ac:dyDescent="0.25">
      <c r="A137" s="2">
        <v>33055</v>
      </c>
      <c r="B137" s="3">
        <v>12.62</v>
      </c>
    </row>
    <row r="138" spans="1:2" x14ac:dyDescent="0.25">
      <c r="A138" s="2">
        <v>33086</v>
      </c>
      <c r="B138" s="3">
        <v>12.18</v>
      </c>
    </row>
    <row r="139" spans="1:2" x14ac:dyDescent="0.25">
      <c r="A139" s="2">
        <v>33117</v>
      </c>
      <c r="B139" s="3">
        <v>14.26</v>
      </c>
    </row>
    <row r="140" spans="1:2" x14ac:dyDescent="0.25">
      <c r="A140" s="2">
        <v>33147</v>
      </c>
      <c r="B140" s="3">
        <v>14.43</v>
      </c>
    </row>
    <row r="141" spans="1:2" x14ac:dyDescent="0.25">
      <c r="A141" s="2">
        <v>33178</v>
      </c>
      <c r="B141" s="3">
        <v>16.920000000000002</v>
      </c>
    </row>
    <row r="142" spans="1:2" x14ac:dyDescent="0.25">
      <c r="A142" s="2">
        <v>33208</v>
      </c>
      <c r="B142" s="3">
        <v>19.14</v>
      </c>
    </row>
    <row r="143" spans="1:2" x14ac:dyDescent="0.25">
      <c r="A143" s="2">
        <v>33239</v>
      </c>
      <c r="B143" s="3">
        <v>20.95</v>
      </c>
    </row>
    <row r="144" spans="1:2" x14ac:dyDescent="0.25">
      <c r="A144" s="2">
        <v>33270</v>
      </c>
      <c r="B144" s="3">
        <v>20.2</v>
      </c>
    </row>
    <row r="145" spans="1:2" x14ac:dyDescent="0.25">
      <c r="A145" s="2">
        <v>33298</v>
      </c>
      <c r="B145" s="3">
        <v>11.79</v>
      </c>
    </row>
    <row r="146" spans="1:2" x14ac:dyDescent="0.25">
      <c r="A146" s="2">
        <v>33329</v>
      </c>
      <c r="B146" s="3">
        <v>5.01</v>
      </c>
    </row>
    <row r="147" spans="1:2" x14ac:dyDescent="0.25">
      <c r="A147" s="2">
        <v>33359</v>
      </c>
      <c r="B147" s="3">
        <v>6.68</v>
      </c>
    </row>
    <row r="148" spans="1:2" x14ac:dyDescent="0.25">
      <c r="A148" s="2">
        <v>33390</v>
      </c>
      <c r="B148" s="3">
        <v>10.83</v>
      </c>
    </row>
    <row r="149" spans="1:2" x14ac:dyDescent="0.25">
      <c r="A149" s="2">
        <v>33420</v>
      </c>
      <c r="B149" s="3">
        <v>12.14</v>
      </c>
    </row>
    <row r="150" spans="1:2" x14ac:dyDescent="0.25">
      <c r="A150" s="2">
        <v>33451</v>
      </c>
      <c r="B150" s="3">
        <v>15.62</v>
      </c>
    </row>
    <row r="151" spans="1:2" x14ac:dyDescent="0.25">
      <c r="A151" s="2">
        <v>33482</v>
      </c>
      <c r="B151" s="3">
        <v>15.62</v>
      </c>
    </row>
    <row r="152" spans="1:2" x14ac:dyDescent="0.25">
      <c r="A152" s="2">
        <v>33512</v>
      </c>
      <c r="B152" s="3">
        <v>21.08</v>
      </c>
    </row>
    <row r="153" spans="1:2" x14ac:dyDescent="0.25">
      <c r="A153" s="2">
        <v>33543</v>
      </c>
      <c r="B153" s="3">
        <v>26.48</v>
      </c>
    </row>
    <row r="154" spans="1:2" x14ac:dyDescent="0.25">
      <c r="A154" s="2">
        <v>33573</v>
      </c>
      <c r="B154" s="3">
        <v>24.15</v>
      </c>
    </row>
    <row r="155" spans="1:2" x14ac:dyDescent="0.25">
      <c r="A155" s="2">
        <v>33604</v>
      </c>
      <c r="B155" s="3">
        <v>25.92</v>
      </c>
    </row>
    <row r="156" spans="1:2" x14ac:dyDescent="0.25">
      <c r="A156" s="2">
        <v>33635</v>
      </c>
      <c r="B156" s="3">
        <v>24.48</v>
      </c>
    </row>
    <row r="157" spans="1:2" x14ac:dyDescent="0.25">
      <c r="A157" s="2">
        <v>33664</v>
      </c>
      <c r="B157" s="3">
        <v>21.62</v>
      </c>
    </row>
    <row r="158" spans="1:2" x14ac:dyDescent="0.25">
      <c r="A158" s="2">
        <v>33695</v>
      </c>
      <c r="B158" s="3">
        <v>20.84</v>
      </c>
    </row>
    <row r="159" spans="1:2" x14ac:dyDescent="0.25">
      <c r="A159" s="2">
        <v>33725</v>
      </c>
      <c r="B159" s="3">
        <v>24.5</v>
      </c>
    </row>
    <row r="160" spans="1:2" x14ac:dyDescent="0.25">
      <c r="A160" s="2">
        <v>33756</v>
      </c>
      <c r="B160" s="3">
        <v>20.85</v>
      </c>
    </row>
    <row r="161" spans="1:2" x14ac:dyDescent="0.25">
      <c r="A161" s="2">
        <v>33786</v>
      </c>
      <c r="B161" s="3">
        <v>22.08</v>
      </c>
    </row>
    <row r="162" spans="1:2" x14ac:dyDescent="0.25">
      <c r="A162" s="2">
        <v>33817</v>
      </c>
      <c r="B162" s="3">
        <v>22.38</v>
      </c>
    </row>
    <row r="163" spans="1:2" x14ac:dyDescent="0.25">
      <c r="A163" s="2">
        <v>33848</v>
      </c>
      <c r="B163" s="3">
        <v>23.98</v>
      </c>
    </row>
    <row r="164" spans="1:2" x14ac:dyDescent="0.25">
      <c r="A164" s="2">
        <v>33878</v>
      </c>
      <c r="B164" s="3">
        <v>26.07</v>
      </c>
    </row>
    <row r="165" spans="1:2" x14ac:dyDescent="0.25">
      <c r="A165" s="2">
        <v>33909</v>
      </c>
      <c r="B165" s="3">
        <v>22.89</v>
      </c>
    </row>
    <row r="166" spans="1:2" x14ac:dyDescent="0.25">
      <c r="A166" s="2">
        <v>33939</v>
      </c>
      <c r="B166" s="3">
        <v>25.58</v>
      </c>
    </row>
    <row r="167" spans="1:2" x14ac:dyDescent="0.25">
      <c r="A167" s="2">
        <v>33970</v>
      </c>
      <c r="B167" s="3">
        <v>28.77</v>
      </c>
    </row>
    <row r="168" spans="1:2" x14ac:dyDescent="0.25">
      <c r="A168" s="2">
        <v>34001</v>
      </c>
      <c r="B168" s="3">
        <v>24.79</v>
      </c>
    </row>
    <row r="169" spans="1:2" x14ac:dyDescent="0.25">
      <c r="A169" s="2">
        <v>34029</v>
      </c>
      <c r="B169" s="3">
        <v>27.58</v>
      </c>
    </row>
    <row r="170" spans="1:2" x14ac:dyDescent="0.25">
      <c r="A170" s="2">
        <v>34060</v>
      </c>
      <c r="B170" s="3">
        <v>28.37</v>
      </c>
    </row>
    <row r="171" spans="1:2" x14ac:dyDescent="0.25">
      <c r="A171" s="2">
        <v>34090</v>
      </c>
      <c r="B171" s="3">
        <v>26.78</v>
      </c>
    </row>
    <row r="172" spans="1:2" x14ac:dyDescent="0.25">
      <c r="A172" s="2">
        <v>34121</v>
      </c>
      <c r="B172" s="3">
        <v>30.37</v>
      </c>
    </row>
    <row r="173" spans="1:2" x14ac:dyDescent="0.25">
      <c r="A173" s="2">
        <v>34151</v>
      </c>
      <c r="B173" s="3">
        <v>31.01</v>
      </c>
    </row>
    <row r="174" spans="1:2" x14ac:dyDescent="0.25">
      <c r="A174" s="2">
        <v>34182</v>
      </c>
      <c r="B174" s="3">
        <v>33.340000000000003</v>
      </c>
    </row>
    <row r="175" spans="1:2" x14ac:dyDescent="0.25">
      <c r="A175" s="2">
        <v>34213</v>
      </c>
      <c r="B175" s="3">
        <v>35.630000000000003</v>
      </c>
    </row>
    <row r="176" spans="1:2" x14ac:dyDescent="0.25">
      <c r="A176" s="2">
        <v>34243</v>
      </c>
      <c r="B176" s="3">
        <v>34.119999999999997</v>
      </c>
    </row>
    <row r="177" spans="1:2" x14ac:dyDescent="0.25">
      <c r="A177" s="2">
        <v>34274</v>
      </c>
      <c r="B177" s="3">
        <v>36</v>
      </c>
    </row>
    <row r="178" spans="1:2" x14ac:dyDescent="0.25">
      <c r="A178" s="2">
        <v>34304</v>
      </c>
      <c r="B178" s="3">
        <v>37.729999999999997</v>
      </c>
    </row>
    <row r="179" spans="1:2" x14ac:dyDescent="0.25">
      <c r="A179" s="2">
        <v>34335</v>
      </c>
      <c r="B179" s="3">
        <v>41.32</v>
      </c>
    </row>
    <row r="180" spans="1:2" x14ac:dyDescent="0.25">
      <c r="A180" s="2">
        <v>34366</v>
      </c>
      <c r="B180" s="3">
        <v>40.57</v>
      </c>
    </row>
    <row r="181" spans="1:2" x14ac:dyDescent="0.25">
      <c r="A181" s="2">
        <v>34394</v>
      </c>
      <c r="B181" s="3">
        <v>43.08</v>
      </c>
    </row>
    <row r="182" spans="1:2" x14ac:dyDescent="0.25">
      <c r="A182" s="2">
        <v>34425</v>
      </c>
      <c r="B182" s="3">
        <v>42.86</v>
      </c>
    </row>
    <row r="183" spans="1:2" x14ac:dyDescent="0.25">
      <c r="A183" s="2">
        <v>34455</v>
      </c>
      <c r="B183" s="3">
        <v>42.73</v>
      </c>
    </row>
    <row r="184" spans="1:2" x14ac:dyDescent="0.25">
      <c r="A184" s="2">
        <v>34486</v>
      </c>
      <c r="B184" s="3">
        <v>48.24</v>
      </c>
    </row>
    <row r="185" spans="1:2" x14ac:dyDescent="0.25">
      <c r="A185" s="2">
        <v>34516</v>
      </c>
      <c r="B185" s="3">
        <v>7.75</v>
      </c>
    </row>
    <row r="186" spans="1:2" x14ac:dyDescent="0.25">
      <c r="A186" s="2">
        <v>34547</v>
      </c>
      <c r="B186" s="3">
        <v>1.85</v>
      </c>
    </row>
    <row r="187" spans="1:2" x14ac:dyDescent="0.25">
      <c r="A187" s="2">
        <v>34578</v>
      </c>
      <c r="B187" s="3">
        <v>1.4</v>
      </c>
    </row>
    <row r="188" spans="1:2" x14ac:dyDescent="0.25">
      <c r="A188" s="2">
        <v>34608</v>
      </c>
      <c r="B188" s="3">
        <v>2.82</v>
      </c>
    </row>
    <row r="189" spans="1:2" x14ac:dyDescent="0.25">
      <c r="A189" s="2">
        <v>34639</v>
      </c>
      <c r="B189" s="3">
        <v>2.96</v>
      </c>
    </row>
    <row r="190" spans="1:2" x14ac:dyDescent="0.25">
      <c r="A190" s="2">
        <v>34669</v>
      </c>
      <c r="B190" s="3">
        <v>1.7</v>
      </c>
    </row>
    <row r="191" spans="1:2" x14ac:dyDescent="0.25">
      <c r="A191" s="2">
        <v>34700</v>
      </c>
      <c r="B191" s="3">
        <v>1.44</v>
      </c>
    </row>
    <row r="192" spans="1:2" x14ac:dyDescent="0.25">
      <c r="A192" s="2">
        <v>34731</v>
      </c>
      <c r="B192" s="3">
        <v>1.01</v>
      </c>
    </row>
    <row r="193" spans="1:2" x14ac:dyDescent="0.25">
      <c r="A193" s="2">
        <v>34759</v>
      </c>
      <c r="B193" s="3">
        <v>1.62</v>
      </c>
    </row>
    <row r="194" spans="1:2" x14ac:dyDescent="0.25">
      <c r="A194" s="2">
        <v>34790</v>
      </c>
      <c r="B194" s="3">
        <v>2.4900000000000002</v>
      </c>
    </row>
    <row r="195" spans="1:2" x14ac:dyDescent="0.25">
      <c r="A195" s="2">
        <v>34820</v>
      </c>
      <c r="B195" s="3">
        <v>2.1</v>
      </c>
    </row>
    <row r="196" spans="1:2" x14ac:dyDescent="0.25">
      <c r="A196" s="2">
        <v>34851</v>
      </c>
      <c r="B196" s="3">
        <v>2.1800000000000002</v>
      </c>
    </row>
    <row r="197" spans="1:2" x14ac:dyDescent="0.25">
      <c r="A197" s="2">
        <v>34881</v>
      </c>
      <c r="B197" s="3">
        <v>2.46</v>
      </c>
    </row>
    <row r="198" spans="1:2" x14ac:dyDescent="0.25">
      <c r="A198" s="2">
        <v>34912</v>
      </c>
      <c r="B198" s="3">
        <v>1.02</v>
      </c>
    </row>
    <row r="199" spans="1:2" x14ac:dyDescent="0.25">
      <c r="A199" s="2">
        <v>34943</v>
      </c>
      <c r="B199" s="3">
        <v>1.17</v>
      </c>
    </row>
    <row r="200" spans="1:2" x14ac:dyDescent="0.25">
      <c r="A200" s="2">
        <v>34973</v>
      </c>
      <c r="B200" s="3">
        <v>1.4</v>
      </c>
    </row>
    <row r="201" spans="1:2" x14ac:dyDescent="0.25">
      <c r="A201" s="2">
        <v>35004</v>
      </c>
      <c r="B201" s="3">
        <v>1.51</v>
      </c>
    </row>
    <row r="202" spans="1:2" x14ac:dyDescent="0.25">
      <c r="A202" s="2">
        <v>35034</v>
      </c>
      <c r="B202" s="3">
        <v>1.65</v>
      </c>
    </row>
    <row r="203" spans="1:2" x14ac:dyDescent="0.25">
      <c r="A203" s="2">
        <v>35065</v>
      </c>
      <c r="B203" s="3">
        <v>1.46</v>
      </c>
    </row>
    <row r="204" spans="1:2" x14ac:dyDescent="0.25">
      <c r="A204" s="2">
        <v>35096</v>
      </c>
      <c r="B204" s="3">
        <v>0.71</v>
      </c>
    </row>
    <row r="205" spans="1:2" x14ac:dyDescent="0.25">
      <c r="A205" s="2">
        <v>35125</v>
      </c>
      <c r="B205" s="3">
        <v>0.28999999999999998</v>
      </c>
    </row>
    <row r="206" spans="1:2" x14ac:dyDescent="0.25">
      <c r="A206" s="2">
        <v>35156</v>
      </c>
      <c r="B206" s="3">
        <v>0.93</v>
      </c>
    </row>
    <row r="207" spans="1:2" x14ac:dyDescent="0.25">
      <c r="A207" s="2">
        <v>35186</v>
      </c>
      <c r="B207" s="3">
        <v>1.28</v>
      </c>
    </row>
    <row r="208" spans="1:2" x14ac:dyDescent="0.25">
      <c r="A208" s="2">
        <v>35217</v>
      </c>
      <c r="B208" s="3">
        <v>1.33</v>
      </c>
    </row>
    <row r="209" spans="1:2" x14ac:dyDescent="0.25">
      <c r="A209" s="2">
        <v>35247</v>
      </c>
      <c r="B209" s="3">
        <v>1.2</v>
      </c>
    </row>
    <row r="210" spans="1:2" x14ac:dyDescent="0.25">
      <c r="A210" s="2">
        <v>35278</v>
      </c>
      <c r="B210" s="3">
        <v>0.5</v>
      </c>
    </row>
    <row r="211" spans="1:2" x14ac:dyDescent="0.25">
      <c r="A211" s="2">
        <v>35309</v>
      </c>
      <c r="B211" s="3">
        <v>0.02</v>
      </c>
    </row>
    <row r="212" spans="1:2" x14ac:dyDescent="0.25">
      <c r="A212" s="2">
        <v>35339</v>
      </c>
      <c r="B212" s="3">
        <v>0.38</v>
      </c>
    </row>
    <row r="213" spans="1:2" x14ac:dyDescent="0.25">
      <c r="A213" s="2">
        <v>35370</v>
      </c>
      <c r="B213" s="3">
        <v>0.34</v>
      </c>
    </row>
    <row r="214" spans="1:2" x14ac:dyDescent="0.25">
      <c r="A214" s="2">
        <v>35400</v>
      </c>
      <c r="B214" s="3">
        <v>0.33</v>
      </c>
    </row>
    <row r="215" spans="1:2" x14ac:dyDescent="0.25">
      <c r="A215" s="2">
        <v>35431</v>
      </c>
      <c r="B215" s="3">
        <v>0.81</v>
      </c>
    </row>
    <row r="216" spans="1:2" x14ac:dyDescent="0.25">
      <c r="A216" s="2">
        <v>35462</v>
      </c>
      <c r="B216" s="3">
        <v>0.45</v>
      </c>
    </row>
    <row r="217" spans="1:2" x14ac:dyDescent="0.25">
      <c r="A217" s="2">
        <v>35490</v>
      </c>
      <c r="B217" s="3">
        <v>0.68</v>
      </c>
    </row>
    <row r="218" spans="1:2" x14ac:dyDescent="0.25">
      <c r="A218" s="2">
        <v>35521</v>
      </c>
      <c r="B218" s="3">
        <v>0.6</v>
      </c>
    </row>
    <row r="219" spans="1:2" x14ac:dyDescent="0.25">
      <c r="A219" s="2">
        <v>35551</v>
      </c>
      <c r="B219" s="3">
        <v>0.11</v>
      </c>
    </row>
    <row r="220" spans="1:2" x14ac:dyDescent="0.25">
      <c r="A220" s="2">
        <v>35582</v>
      </c>
      <c r="B220" s="3">
        <v>0.35</v>
      </c>
    </row>
    <row r="221" spans="1:2" x14ac:dyDescent="0.25">
      <c r="A221" s="2">
        <v>35612</v>
      </c>
      <c r="B221" s="3">
        <v>0.18</v>
      </c>
    </row>
    <row r="222" spans="1:2" x14ac:dyDescent="0.25">
      <c r="A222" s="2">
        <v>35643</v>
      </c>
      <c r="B222" s="3">
        <v>-0.03</v>
      </c>
    </row>
    <row r="223" spans="1:2" x14ac:dyDescent="0.25">
      <c r="A223" s="2">
        <v>35674</v>
      </c>
      <c r="B223" s="3">
        <v>0.1</v>
      </c>
    </row>
    <row r="224" spans="1:2" x14ac:dyDescent="0.25">
      <c r="A224" s="2">
        <v>35704</v>
      </c>
      <c r="B224" s="3">
        <v>0.28999999999999998</v>
      </c>
    </row>
    <row r="225" spans="1:2" x14ac:dyDescent="0.25">
      <c r="A225" s="2">
        <v>35735</v>
      </c>
      <c r="B225" s="3">
        <v>0.15</v>
      </c>
    </row>
    <row r="226" spans="1:2" x14ac:dyDescent="0.25">
      <c r="A226" s="2">
        <v>35765</v>
      </c>
      <c r="B226" s="3">
        <v>0.56999999999999995</v>
      </c>
    </row>
    <row r="227" spans="1:2" x14ac:dyDescent="0.25">
      <c r="A227" s="2">
        <v>35796</v>
      </c>
      <c r="B227" s="3">
        <v>0.85</v>
      </c>
    </row>
    <row r="228" spans="1:2" x14ac:dyDescent="0.25">
      <c r="A228" s="2">
        <v>35827</v>
      </c>
      <c r="B228" s="3">
        <v>0.54</v>
      </c>
    </row>
    <row r="229" spans="1:2" x14ac:dyDescent="0.25">
      <c r="A229" s="2">
        <v>35855</v>
      </c>
      <c r="B229" s="3">
        <v>0.49</v>
      </c>
    </row>
    <row r="230" spans="1:2" x14ac:dyDescent="0.25">
      <c r="A230" s="2">
        <v>35886</v>
      </c>
      <c r="B230" s="3">
        <v>0.45</v>
      </c>
    </row>
    <row r="231" spans="1:2" x14ac:dyDescent="0.25">
      <c r="A231" s="2">
        <v>35916</v>
      </c>
      <c r="B231" s="3">
        <v>0.72</v>
      </c>
    </row>
    <row r="232" spans="1:2" x14ac:dyDescent="0.25">
      <c r="A232" s="2">
        <v>35947</v>
      </c>
      <c r="B232" s="3">
        <v>0.15</v>
      </c>
    </row>
    <row r="233" spans="1:2" x14ac:dyDescent="0.25">
      <c r="A233" s="2">
        <v>35977</v>
      </c>
      <c r="B233" s="3">
        <v>-0.28000000000000003</v>
      </c>
    </row>
    <row r="234" spans="1:2" x14ac:dyDescent="0.25">
      <c r="A234" s="2">
        <v>36008</v>
      </c>
      <c r="B234" s="3">
        <v>-0.49</v>
      </c>
    </row>
    <row r="235" spans="1:2" x14ac:dyDescent="0.25">
      <c r="A235" s="2">
        <v>36039</v>
      </c>
      <c r="B235" s="3">
        <v>-0.31</v>
      </c>
    </row>
    <row r="236" spans="1:2" x14ac:dyDescent="0.25">
      <c r="A236" s="2">
        <v>36069</v>
      </c>
      <c r="B236" s="3">
        <v>0.11</v>
      </c>
    </row>
    <row r="237" spans="1:2" x14ac:dyDescent="0.25">
      <c r="A237" s="2">
        <v>36100</v>
      </c>
      <c r="B237" s="3">
        <v>-0.18</v>
      </c>
    </row>
    <row r="238" spans="1:2" x14ac:dyDescent="0.25">
      <c r="A238" s="2">
        <v>36130</v>
      </c>
      <c r="B238" s="3">
        <v>0.42</v>
      </c>
    </row>
    <row r="239" spans="1:2" x14ac:dyDescent="0.25">
      <c r="A239" s="2">
        <v>36161</v>
      </c>
      <c r="B239" s="3">
        <v>0.65</v>
      </c>
    </row>
    <row r="240" spans="1:2" x14ac:dyDescent="0.25">
      <c r="A240" s="2">
        <v>36192</v>
      </c>
      <c r="B240" s="3">
        <v>1.29</v>
      </c>
    </row>
    <row r="241" spans="1:2" x14ac:dyDescent="0.25">
      <c r="A241" s="2">
        <v>36220</v>
      </c>
      <c r="B241" s="3">
        <v>1.28</v>
      </c>
    </row>
    <row r="242" spans="1:2" x14ac:dyDescent="0.25">
      <c r="A242" s="2">
        <v>36251</v>
      </c>
      <c r="B242" s="3">
        <v>0.47</v>
      </c>
    </row>
    <row r="243" spans="1:2" x14ac:dyDescent="0.25">
      <c r="A243" s="2">
        <v>36281</v>
      </c>
      <c r="B243" s="3">
        <v>0.05</v>
      </c>
    </row>
    <row r="244" spans="1:2" x14ac:dyDescent="0.25">
      <c r="A244" s="2">
        <v>36312</v>
      </c>
      <c r="B244" s="3">
        <v>7.0000000000000007E-2</v>
      </c>
    </row>
    <row r="245" spans="1:2" x14ac:dyDescent="0.25">
      <c r="A245" s="2">
        <v>36342</v>
      </c>
      <c r="B245" s="3">
        <v>0.74</v>
      </c>
    </row>
    <row r="246" spans="1:2" x14ac:dyDescent="0.25">
      <c r="A246" s="2">
        <v>36373</v>
      </c>
      <c r="B246" s="3">
        <v>0.55000000000000004</v>
      </c>
    </row>
    <row r="247" spans="1:2" x14ac:dyDescent="0.25">
      <c r="A247" s="2">
        <v>36404</v>
      </c>
      <c r="B247" s="3">
        <v>0.39</v>
      </c>
    </row>
    <row r="248" spans="1:2" x14ac:dyDescent="0.25">
      <c r="A248" s="2">
        <v>36434</v>
      </c>
      <c r="B248" s="3">
        <v>0.96</v>
      </c>
    </row>
    <row r="249" spans="1:2" x14ac:dyDescent="0.25">
      <c r="A249" s="2">
        <v>36465</v>
      </c>
      <c r="B249" s="3">
        <v>0.94</v>
      </c>
    </row>
    <row r="250" spans="1:2" x14ac:dyDescent="0.25">
      <c r="A250" s="2">
        <v>36495</v>
      </c>
      <c r="B250" s="3">
        <v>0.74</v>
      </c>
    </row>
    <row r="251" spans="1:2" x14ac:dyDescent="0.25">
      <c r="A251" s="2">
        <v>36526</v>
      </c>
      <c r="B251" s="3">
        <v>0.61</v>
      </c>
    </row>
    <row r="252" spans="1:2" x14ac:dyDescent="0.25">
      <c r="A252" s="2">
        <v>36557</v>
      </c>
      <c r="B252" s="3">
        <v>0.05</v>
      </c>
    </row>
    <row r="253" spans="1:2" x14ac:dyDescent="0.25">
      <c r="A253" s="2">
        <v>36586</v>
      </c>
      <c r="B253" s="3">
        <v>0.13</v>
      </c>
    </row>
    <row r="254" spans="1:2" x14ac:dyDescent="0.25">
      <c r="A254" s="2">
        <v>36617</v>
      </c>
      <c r="B254" s="3">
        <v>0.09</v>
      </c>
    </row>
    <row r="255" spans="1:2" x14ac:dyDescent="0.25">
      <c r="A255" s="2">
        <v>36647</v>
      </c>
      <c r="B255" s="3">
        <v>-0.05</v>
      </c>
    </row>
    <row r="256" spans="1:2" x14ac:dyDescent="0.25">
      <c r="A256" s="2">
        <v>36678</v>
      </c>
      <c r="B256" s="3">
        <v>0.3</v>
      </c>
    </row>
    <row r="257" spans="1:2" x14ac:dyDescent="0.25">
      <c r="A257" s="2">
        <v>36708</v>
      </c>
      <c r="B257" s="3">
        <v>1.39</v>
      </c>
    </row>
    <row r="258" spans="1:2" x14ac:dyDescent="0.25">
      <c r="A258" s="2">
        <v>36739</v>
      </c>
      <c r="B258" s="3">
        <v>1.21</v>
      </c>
    </row>
    <row r="259" spans="1:2" x14ac:dyDescent="0.25">
      <c r="A259" s="2">
        <v>36770</v>
      </c>
      <c r="B259" s="3">
        <v>0.43</v>
      </c>
    </row>
    <row r="260" spans="1:2" x14ac:dyDescent="0.25">
      <c r="A260" s="2">
        <v>36800</v>
      </c>
      <c r="B260" s="3">
        <v>0.16</v>
      </c>
    </row>
    <row r="261" spans="1:2" x14ac:dyDescent="0.25">
      <c r="A261" s="2">
        <v>36831</v>
      </c>
      <c r="B261" s="3">
        <v>0.28999999999999998</v>
      </c>
    </row>
    <row r="262" spans="1:2" x14ac:dyDescent="0.25">
      <c r="A262" s="2">
        <v>36861</v>
      </c>
      <c r="B262" s="3">
        <v>0.55000000000000004</v>
      </c>
    </row>
    <row r="263" spans="1:2" x14ac:dyDescent="0.25">
      <c r="A263" s="2">
        <v>36892</v>
      </c>
      <c r="B263" s="3">
        <v>0.77</v>
      </c>
    </row>
    <row r="264" spans="1:2" x14ac:dyDescent="0.25">
      <c r="A264" s="2">
        <v>36923</v>
      </c>
      <c r="B264" s="3">
        <v>0.49</v>
      </c>
    </row>
    <row r="265" spans="1:2" x14ac:dyDescent="0.25">
      <c r="A265" s="2">
        <v>36951</v>
      </c>
      <c r="B265" s="3">
        <v>0.48</v>
      </c>
    </row>
    <row r="266" spans="1:2" x14ac:dyDescent="0.25">
      <c r="A266" s="2">
        <v>36982</v>
      </c>
      <c r="B266" s="3">
        <v>0.84</v>
      </c>
    </row>
    <row r="267" spans="1:2" x14ac:dyDescent="0.25">
      <c r="A267" s="2">
        <v>37012</v>
      </c>
      <c r="B267" s="3">
        <v>0.56999999999999995</v>
      </c>
    </row>
    <row r="268" spans="1:2" x14ac:dyDescent="0.25">
      <c r="A268" s="2">
        <v>37043</v>
      </c>
      <c r="B268" s="3">
        <v>0.6</v>
      </c>
    </row>
    <row r="269" spans="1:2" x14ac:dyDescent="0.25">
      <c r="A269" s="2">
        <v>37073</v>
      </c>
      <c r="B269" s="3">
        <v>1.1100000000000001</v>
      </c>
    </row>
    <row r="270" spans="1:2" x14ac:dyDescent="0.25">
      <c r="A270" s="2">
        <v>37104</v>
      </c>
      <c r="B270" s="3">
        <v>0.79</v>
      </c>
    </row>
    <row r="271" spans="1:2" x14ac:dyDescent="0.25">
      <c r="A271" s="2">
        <v>37135</v>
      </c>
      <c r="B271" s="3">
        <v>0.44</v>
      </c>
    </row>
    <row r="272" spans="1:2" x14ac:dyDescent="0.25">
      <c r="A272" s="2">
        <v>37165</v>
      </c>
      <c r="B272" s="3">
        <v>0.94</v>
      </c>
    </row>
    <row r="273" spans="1:2" x14ac:dyDescent="0.25">
      <c r="A273" s="2">
        <v>37196</v>
      </c>
      <c r="B273" s="3">
        <v>1.29</v>
      </c>
    </row>
    <row r="274" spans="1:2" x14ac:dyDescent="0.25">
      <c r="A274" s="2">
        <v>37226</v>
      </c>
      <c r="B274" s="3">
        <v>0.74</v>
      </c>
    </row>
    <row r="275" spans="1:2" x14ac:dyDescent="0.25">
      <c r="A275" s="2">
        <v>37257</v>
      </c>
      <c r="B275" s="3">
        <v>1.07</v>
      </c>
    </row>
    <row r="276" spans="1:2" x14ac:dyDescent="0.25">
      <c r="A276" s="2">
        <v>37288</v>
      </c>
      <c r="B276" s="3">
        <v>0.31</v>
      </c>
    </row>
    <row r="277" spans="1:2" x14ac:dyDescent="0.25">
      <c r="A277" s="2">
        <v>37316</v>
      </c>
      <c r="B277" s="3">
        <v>0.62</v>
      </c>
    </row>
    <row r="278" spans="1:2" x14ac:dyDescent="0.25">
      <c r="A278" s="2">
        <v>37347</v>
      </c>
      <c r="B278" s="3">
        <v>0.68</v>
      </c>
    </row>
    <row r="279" spans="1:2" x14ac:dyDescent="0.25">
      <c r="A279" s="2">
        <v>37377</v>
      </c>
      <c r="B279" s="3">
        <v>0.09</v>
      </c>
    </row>
    <row r="280" spans="1:2" x14ac:dyDescent="0.25">
      <c r="A280" s="2">
        <v>37408</v>
      </c>
      <c r="B280" s="3">
        <v>0.61</v>
      </c>
    </row>
    <row r="281" spans="1:2" x14ac:dyDescent="0.25">
      <c r="A281" s="2">
        <v>37438</v>
      </c>
      <c r="B281" s="3">
        <v>1.1499999999999999</v>
      </c>
    </row>
    <row r="282" spans="1:2" x14ac:dyDescent="0.25">
      <c r="A282" s="2">
        <v>37469</v>
      </c>
      <c r="B282" s="3">
        <v>0.86</v>
      </c>
    </row>
    <row r="283" spans="1:2" x14ac:dyDescent="0.25">
      <c r="A283" s="2">
        <v>37500</v>
      </c>
      <c r="B283" s="3">
        <v>0.83</v>
      </c>
    </row>
    <row r="284" spans="1:2" x14ac:dyDescent="0.25">
      <c r="A284" s="2">
        <v>37530</v>
      </c>
      <c r="B284" s="3">
        <v>1.57</v>
      </c>
    </row>
    <row r="285" spans="1:2" x14ac:dyDescent="0.25">
      <c r="A285" s="2">
        <v>37561</v>
      </c>
      <c r="B285" s="3">
        <v>3.39</v>
      </c>
    </row>
    <row r="286" spans="1:2" x14ac:dyDescent="0.25">
      <c r="A286" s="2">
        <v>37591</v>
      </c>
      <c r="B286" s="3">
        <v>2.7</v>
      </c>
    </row>
    <row r="287" spans="1:2" x14ac:dyDescent="0.25">
      <c r="A287" s="2">
        <v>37622</v>
      </c>
      <c r="B287" s="3">
        <v>2.4700000000000002</v>
      </c>
    </row>
    <row r="288" spans="1:2" x14ac:dyDescent="0.25">
      <c r="A288" s="2">
        <v>37653</v>
      </c>
      <c r="B288" s="3">
        <v>1.46</v>
      </c>
    </row>
    <row r="289" spans="1:2" x14ac:dyDescent="0.25">
      <c r="A289" s="2">
        <v>37681</v>
      </c>
      <c r="B289" s="3">
        <v>1.37</v>
      </c>
    </row>
    <row r="290" spans="1:2" x14ac:dyDescent="0.25">
      <c r="A290" s="2">
        <v>37712</v>
      </c>
      <c r="B290" s="3">
        <v>1.38</v>
      </c>
    </row>
    <row r="291" spans="1:2" x14ac:dyDescent="0.25">
      <c r="A291" s="2">
        <v>37742</v>
      </c>
      <c r="B291" s="3">
        <v>0.99</v>
      </c>
    </row>
    <row r="292" spans="1:2" x14ac:dyDescent="0.25">
      <c r="A292" s="2">
        <v>37773</v>
      </c>
      <c r="B292" s="3">
        <v>-0.06</v>
      </c>
    </row>
    <row r="293" spans="1:2" x14ac:dyDescent="0.25">
      <c r="A293" s="2">
        <v>37803</v>
      </c>
      <c r="B293" s="3">
        <v>0.04</v>
      </c>
    </row>
    <row r="294" spans="1:2" x14ac:dyDescent="0.25">
      <c r="A294" s="2">
        <v>37834</v>
      </c>
      <c r="B294" s="3">
        <v>0.18</v>
      </c>
    </row>
    <row r="295" spans="1:2" x14ac:dyDescent="0.25">
      <c r="A295" s="2">
        <v>37865</v>
      </c>
      <c r="B295" s="3">
        <v>0.82</v>
      </c>
    </row>
    <row r="296" spans="1:2" x14ac:dyDescent="0.25">
      <c r="A296" s="2">
        <v>37895</v>
      </c>
      <c r="B296" s="3">
        <v>0.39</v>
      </c>
    </row>
    <row r="297" spans="1:2" x14ac:dyDescent="0.25">
      <c r="A297" s="2">
        <v>37926</v>
      </c>
      <c r="B297" s="3">
        <v>0.37</v>
      </c>
    </row>
    <row r="298" spans="1:2" x14ac:dyDescent="0.25">
      <c r="A298" s="2">
        <v>37956</v>
      </c>
      <c r="B298" s="3">
        <v>0.54</v>
      </c>
    </row>
    <row r="299" spans="1:2" x14ac:dyDescent="0.25">
      <c r="A299" s="2">
        <v>37987</v>
      </c>
      <c r="B299" s="3">
        <v>0.83</v>
      </c>
    </row>
    <row r="300" spans="1:2" x14ac:dyDescent="0.25">
      <c r="A300" s="2">
        <v>38018</v>
      </c>
      <c r="B300" s="3">
        <v>0.39</v>
      </c>
    </row>
    <row r="301" spans="1:2" x14ac:dyDescent="0.25">
      <c r="A301" s="2">
        <v>38047</v>
      </c>
      <c r="B301" s="3">
        <v>0.56999999999999995</v>
      </c>
    </row>
    <row r="302" spans="1:2" x14ac:dyDescent="0.25">
      <c r="A302" s="2">
        <v>38078</v>
      </c>
      <c r="B302" s="3">
        <v>0.41</v>
      </c>
    </row>
    <row r="303" spans="1:2" x14ac:dyDescent="0.25">
      <c r="A303" s="2">
        <v>38108</v>
      </c>
      <c r="B303" s="3">
        <v>0.4</v>
      </c>
    </row>
    <row r="304" spans="1:2" x14ac:dyDescent="0.25">
      <c r="A304" s="2">
        <v>38139</v>
      </c>
      <c r="B304" s="3">
        <v>0.5</v>
      </c>
    </row>
    <row r="305" spans="1:2" x14ac:dyDescent="0.25">
      <c r="A305" s="2">
        <v>38169</v>
      </c>
      <c r="B305" s="3">
        <v>0.73</v>
      </c>
    </row>
    <row r="306" spans="1:2" x14ac:dyDescent="0.25">
      <c r="A306" s="2">
        <v>38200</v>
      </c>
      <c r="B306" s="3">
        <v>0.5</v>
      </c>
    </row>
    <row r="307" spans="1:2" x14ac:dyDescent="0.25">
      <c r="A307" s="2">
        <v>38231</v>
      </c>
      <c r="B307" s="3">
        <v>0.17</v>
      </c>
    </row>
    <row r="308" spans="1:2" x14ac:dyDescent="0.25">
      <c r="A308" s="2">
        <v>38261</v>
      </c>
      <c r="B308" s="3">
        <v>0.17</v>
      </c>
    </row>
    <row r="309" spans="1:2" x14ac:dyDescent="0.25">
      <c r="A309" s="2">
        <v>38292</v>
      </c>
      <c r="B309" s="3">
        <v>0.44</v>
      </c>
    </row>
    <row r="310" spans="1:2" x14ac:dyDescent="0.25">
      <c r="A310" s="2">
        <v>38322</v>
      </c>
      <c r="B310" s="3">
        <v>0.86</v>
      </c>
    </row>
    <row r="311" spans="1:2" x14ac:dyDescent="0.25">
      <c r="A311" s="2">
        <v>38353</v>
      </c>
      <c r="B311" s="3">
        <v>0.56999999999999995</v>
      </c>
    </row>
    <row r="312" spans="1:2" x14ac:dyDescent="0.25">
      <c r="A312" s="2">
        <v>38384</v>
      </c>
      <c r="B312" s="3">
        <v>0.44</v>
      </c>
    </row>
    <row r="313" spans="1:2" x14ac:dyDescent="0.25">
      <c r="A313" s="2">
        <v>38412</v>
      </c>
      <c r="B313" s="3">
        <v>0.73</v>
      </c>
    </row>
    <row r="314" spans="1:2" x14ac:dyDescent="0.25">
      <c r="A314" s="2">
        <v>38443</v>
      </c>
      <c r="B314" s="3">
        <v>0.91</v>
      </c>
    </row>
    <row r="315" spans="1:2" x14ac:dyDescent="0.25">
      <c r="A315" s="2">
        <v>38473</v>
      </c>
      <c r="B315" s="3">
        <v>0.7</v>
      </c>
    </row>
    <row r="316" spans="1:2" x14ac:dyDescent="0.25">
      <c r="A316" s="2">
        <v>38504</v>
      </c>
      <c r="B316" s="3">
        <v>-0.11</v>
      </c>
    </row>
    <row r="317" spans="1:2" x14ac:dyDescent="0.25">
      <c r="A317" s="2">
        <v>38534</v>
      </c>
      <c r="B317" s="3">
        <v>0.03</v>
      </c>
    </row>
    <row r="318" spans="1:2" x14ac:dyDescent="0.25">
      <c r="A318" s="2">
        <v>38565</v>
      </c>
      <c r="B318" s="3">
        <v>0</v>
      </c>
    </row>
    <row r="319" spans="1:2" x14ac:dyDescent="0.25">
      <c r="A319" s="2">
        <v>38596</v>
      </c>
      <c r="B319" s="3">
        <v>0.15</v>
      </c>
    </row>
    <row r="320" spans="1:2" x14ac:dyDescent="0.25">
      <c r="A320" s="2">
        <v>38626</v>
      </c>
      <c r="B320" s="3">
        <v>0.57999999999999996</v>
      </c>
    </row>
    <row r="321" spans="1:2" x14ac:dyDescent="0.25">
      <c r="A321" s="2">
        <v>38657</v>
      </c>
      <c r="B321" s="3">
        <v>0.54</v>
      </c>
    </row>
    <row r="322" spans="1:2" x14ac:dyDescent="0.25">
      <c r="A322" s="2">
        <v>38687</v>
      </c>
      <c r="B322" s="3">
        <v>0.4</v>
      </c>
    </row>
    <row r="323" spans="1:2" x14ac:dyDescent="0.25">
      <c r="A323" s="2">
        <v>38718</v>
      </c>
      <c r="B323" s="3">
        <v>0.38</v>
      </c>
    </row>
    <row r="324" spans="1:2" x14ac:dyDescent="0.25">
      <c r="A324" s="2">
        <v>38749</v>
      </c>
      <c r="B324" s="3">
        <v>0.23</v>
      </c>
    </row>
    <row r="325" spans="1:2" x14ac:dyDescent="0.25">
      <c r="A325" s="2">
        <v>38777</v>
      </c>
      <c r="B325" s="3">
        <v>0.27</v>
      </c>
    </row>
    <row r="326" spans="1:2" x14ac:dyDescent="0.25">
      <c r="A326" s="2">
        <v>38808</v>
      </c>
      <c r="B326" s="3">
        <v>0.12</v>
      </c>
    </row>
    <row r="327" spans="1:2" x14ac:dyDescent="0.25">
      <c r="A327" s="2">
        <v>38838</v>
      </c>
      <c r="B327" s="3">
        <v>0.13</v>
      </c>
    </row>
    <row r="328" spans="1:2" x14ac:dyDescent="0.25">
      <c r="A328" s="2">
        <v>38869</v>
      </c>
      <c r="B328" s="3">
        <v>-7.0000000000000007E-2</v>
      </c>
    </row>
    <row r="329" spans="1:2" x14ac:dyDescent="0.25">
      <c r="A329" s="2">
        <v>38899</v>
      </c>
      <c r="B329" s="3">
        <v>0.11</v>
      </c>
    </row>
    <row r="330" spans="1:2" x14ac:dyDescent="0.25">
      <c r="A330" s="2">
        <v>38930</v>
      </c>
      <c r="B330" s="3">
        <v>-0.02</v>
      </c>
    </row>
    <row r="331" spans="1:2" x14ac:dyDescent="0.25">
      <c r="A331" s="2">
        <v>38961</v>
      </c>
      <c r="B331" s="3">
        <v>0.16</v>
      </c>
    </row>
    <row r="332" spans="1:2" x14ac:dyDescent="0.25">
      <c r="A332" s="2">
        <v>38991</v>
      </c>
      <c r="B332" s="3">
        <v>0.43</v>
      </c>
    </row>
    <row r="333" spans="1:2" x14ac:dyDescent="0.25">
      <c r="A333" s="2">
        <v>39022</v>
      </c>
      <c r="B333" s="3">
        <v>0.42</v>
      </c>
    </row>
    <row r="334" spans="1:2" x14ac:dyDescent="0.25">
      <c r="A334" s="2">
        <v>39052</v>
      </c>
      <c r="B334" s="3">
        <v>0.62</v>
      </c>
    </row>
    <row r="335" spans="1:2" x14ac:dyDescent="0.25">
      <c r="A335" s="2">
        <v>39083</v>
      </c>
      <c r="B335" s="3">
        <v>0.49</v>
      </c>
    </row>
    <row r="336" spans="1:2" x14ac:dyDescent="0.25">
      <c r="A336" s="2">
        <v>39114</v>
      </c>
      <c r="B336" s="3">
        <v>0.42</v>
      </c>
    </row>
    <row r="337" spans="1:2" x14ac:dyDescent="0.25">
      <c r="A337" s="2">
        <v>39142</v>
      </c>
      <c r="B337" s="3">
        <v>0.44</v>
      </c>
    </row>
    <row r="338" spans="1:2" x14ac:dyDescent="0.25">
      <c r="A338" s="2">
        <v>39173</v>
      </c>
      <c r="B338" s="3">
        <v>0.26</v>
      </c>
    </row>
    <row r="339" spans="1:2" x14ac:dyDescent="0.25">
      <c r="A339" s="2">
        <v>39203</v>
      </c>
      <c r="B339" s="3">
        <v>0.26</v>
      </c>
    </row>
    <row r="340" spans="1:2" x14ac:dyDescent="0.25">
      <c r="A340" s="2">
        <v>39234</v>
      </c>
      <c r="B340" s="3">
        <v>0.31</v>
      </c>
    </row>
    <row r="341" spans="1:2" x14ac:dyDescent="0.25">
      <c r="A341" s="2">
        <v>39264</v>
      </c>
      <c r="B341" s="3">
        <v>0.32</v>
      </c>
    </row>
    <row r="342" spans="1:2" x14ac:dyDescent="0.25">
      <c r="A342" s="2">
        <v>39295</v>
      </c>
      <c r="B342" s="3">
        <v>0.59</v>
      </c>
    </row>
    <row r="343" spans="1:2" x14ac:dyDescent="0.25">
      <c r="A343" s="2">
        <v>39326</v>
      </c>
      <c r="B343" s="3">
        <v>0.25</v>
      </c>
    </row>
    <row r="344" spans="1:2" x14ac:dyDescent="0.25">
      <c r="A344" s="2">
        <v>39356</v>
      </c>
      <c r="B344" s="3">
        <v>0.3</v>
      </c>
    </row>
    <row r="345" spans="1:2" x14ac:dyDescent="0.25">
      <c r="A345" s="2">
        <v>39387</v>
      </c>
      <c r="B345" s="3">
        <v>0.43</v>
      </c>
    </row>
    <row r="346" spans="1:2" x14ac:dyDescent="0.25">
      <c r="A346" s="2">
        <v>39417</v>
      </c>
      <c r="B346" s="3">
        <v>0.97</v>
      </c>
    </row>
    <row r="347" spans="1:2" x14ac:dyDescent="0.25">
      <c r="A347" s="2">
        <v>39448</v>
      </c>
      <c r="B347" s="3">
        <v>0.69</v>
      </c>
    </row>
    <row r="348" spans="1:2" x14ac:dyDescent="0.25">
      <c r="A348" s="2">
        <v>39479</v>
      </c>
      <c r="B348" s="3">
        <v>0.48</v>
      </c>
    </row>
    <row r="349" spans="1:2" x14ac:dyDescent="0.25">
      <c r="A349" s="2">
        <v>39508</v>
      </c>
      <c r="B349" s="3">
        <v>0.51</v>
      </c>
    </row>
    <row r="350" spans="1:2" x14ac:dyDescent="0.25">
      <c r="A350" s="2">
        <v>39539</v>
      </c>
      <c r="B350" s="3">
        <v>0.64</v>
      </c>
    </row>
    <row r="351" spans="1:2" x14ac:dyDescent="0.25">
      <c r="A351" s="2">
        <v>39569</v>
      </c>
      <c r="B351" s="3">
        <v>0.96</v>
      </c>
    </row>
    <row r="352" spans="1:2" x14ac:dyDescent="0.25">
      <c r="A352" s="2">
        <v>39600</v>
      </c>
      <c r="B352" s="3">
        <v>0.91</v>
      </c>
    </row>
    <row r="353" spans="1:2" x14ac:dyDescent="0.25">
      <c r="A353" s="2">
        <v>39630</v>
      </c>
      <c r="B353" s="3">
        <v>0.57999999999999996</v>
      </c>
    </row>
    <row r="354" spans="1:2" x14ac:dyDescent="0.25">
      <c r="A354" s="2">
        <v>39661</v>
      </c>
      <c r="B354" s="3">
        <v>0.21</v>
      </c>
    </row>
    <row r="355" spans="1:2" x14ac:dyDescent="0.25">
      <c r="A355" s="2">
        <v>39692</v>
      </c>
      <c r="B355" s="3">
        <v>0.15</v>
      </c>
    </row>
    <row r="356" spans="1:2" x14ac:dyDescent="0.25">
      <c r="A356" s="2">
        <v>39722</v>
      </c>
      <c r="B356" s="3">
        <v>0.5</v>
      </c>
    </row>
    <row r="357" spans="1:2" x14ac:dyDescent="0.25">
      <c r="A357" s="2">
        <v>39753</v>
      </c>
      <c r="B357" s="3">
        <v>0.38</v>
      </c>
    </row>
    <row r="358" spans="1:2" x14ac:dyDescent="0.25">
      <c r="A358" s="2">
        <v>39783</v>
      </c>
      <c r="B358" s="3">
        <v>0.28999999999999998</v>
      </c>
    </row>
    <row r="359" spans="1:2" x14ac:dyDescent="0.25">
      <c r="A359" s="2">
        <v>39814</v>
      </c>
      <c r="B359" s="3">
        <v>0.64</v>
      </c>
    </row>
    <row r="360" spans="1:2" x14ac:dyDescent="0.25">
      <c r="A360" s="2">
        <v>39845</v>
      </c>
      <c r="B360" s="3">
        <v>0.31</v>
      </c>
    </row>
    <row r="361" spans="1:2" x14ac:dyDescent="0.25">
      <c r="A361" s="2">
        <v>39873</v>
      </c>
      <c r="B361" s="3">
        <v>0.2</v>
      </c>
    </row>
    <row r="362" spans="1:2" x14ac:dyDescent="0.25">
      <c r="A362" s="2">
        <v>39904</v>
      </c>
      <c r="B362" s="3">
        <v>0.55000000000000004</v>
      </c>
    </row>
    <row r="363" spans="1:2" x14ac:dyDescent="0.25">
      <c r="A363" s="2">
        <v>39934</v>
      </c>
      <c r="B363" s="3">
        <v>0.6</v>
      </c>
    </row>
    <row r="364" spans="1:2" x14ac:dyDescent="0.25">
      <c r="A364" s="2">
        <v>39965</v>
      </c>
      <c r="B364" s="3">
        <v>0.42</v>
      </c>
    </row>
    <row r="365" spans="1:2" x14ac:dyDescent="0.25">
      <c r="A365" s="2">
        <v>39995</v>
      </c>
      <c r="B365" s="3">
        <v>0.23</v>
      </c>
    </row>
    <row r="366" spans="1:2" x14ac:dyDescent="0.25">
      <c r="A366" s="2">
        <v>40026</v>
      </c>
      <c r="B366" s="3">
        <v>0.08</v>
      </c>
    </row>
    <row r="367" spans="1:2" x14ac:dyDescent="0.25">
      <c r="A367" s="2">
        <v>40057</v>
      </c>
      <c r="B367" s="3">
        <v>0.16</v>
      </c>
    </row>
    <row r="368" spans="1:2" x14ac:dyDescent="0.25">
      <c r="A368" s="2">
        <v>40087</v>
      </c>
      <c r="B368" s="3">
        <v>0.24</v>
      </c>
    </row>
    <row r="369" spans="1:2" x14ac:dyDescent="0.25">
      <c r="A369" s="2">
        <v>40118</v>
      </c>
      <c r="B369" s="3">
        <v>0.37</v>
      </c>
    </row>
    <row r="370" spans="1:2" x14ac:dyDescent="0.25">
      <c r="A370" s="2">
        <v>40148</v>
      </c>
      <c r="B370" s="3">
        <v>0.24</v>
      </c>
    </row>
    <row r="371" spans="1:2" x14ac:dyDescent="0.25">
      <c r="A371" s="2">
        <v>40179</v>
      </c>
      <c r="B371" s="3">
        <v>0.88</v>
      </c>
    </row>
    <row r="372" spans="1:2" x14ac:dyDescent="0.25">
      <c r="A372" s="2">
        <v>40210</v>
      </c>
      <c r="B372" s="3">
        <v>0.7</v>
      </c>
    </row>
    <row r="373" spans="1:2" x14ac:dyDescent="0.25">
      <c r="A373" s="2">
        <v>40238</v>
      </c>
      <c r="B373" s="3">
        <v>0.71</v>
      </c>
    </row>
    <row r="374" spans="1:2" x14ac:dyDescent="0.25">
      <c r="A374" s="2">
        <v>40269</v>
      </c>
      <c r="B374" s="3">
        <v>0.73</v>
      </c>
    </row>
    <row r="375" spans="1:2" x14ac:dyDescent="0.25">
      <c r="A375" s="2">
        <v>40299</v>
      </c>
      <c r="B375" s="3">
        <v>0.43</v>
      </c>
    </row>
    <row r="376" spans="1:2" x14ac:dyDescent="0.25">
      <c r="A376" s="2">
        <v>40330</v>
      </c>
      <c r="B376" s="3">
        <v>-0.11</v>
      </c>
    </row>
    <row r="377" spans="1:2" x14ac:dyDescent="0.25">
      <c r="A377" s="2">
        <v>40360</v>
      </c>
      <c r="B377" s="3">
        <v>-7.0000000000000007E-2</v>
      </c>
    </row>
    <row r="378" spans="1:2" x14ac:dyDescent="0.25">
      <c r="A378" s="2">
        <v>40391</v>
      </c>
      <c r="B378" s="3">
        <v>-7.0000000000000007E-2</v>
      </c>
    </row>
    <row r="379" spans="1:2" x14ac:dyDescent="0.25">
      <c r="A379" s="2">
        <v>40422</v>
      </c>
      <c r="B379" s="3">
        <v>0.54</v>
      </c>
    </row>
    <row r="380" spans="1:2" x14ac:dyDescent="0.25">
      <c r="A380" s="2">
        <v>40452</v>
      </c>
      <c r="B380" s="3">
        <v>0.92</v>
      </c>
    </row>
    <row r="381" spans="1:2" x14ac:dyDescent="0.25">
      <c r="A381" s="2">
        <v>40483</v>
      </c>
      <c r="B381" s="3">
        <v>1.03</v>
      </c>
    </row>
    <row r="382" spans="1:2" x14ac:dyDescent="0.25">
      <c r="A382" s="2">
        <v>40513</v>
      </c>
      <c r="B382" s="3">
        <v>0.6</v>
      </c>
    </row>
    <row r="383" spans="1:2" x14ac:dyDescent="0.25">
      <c r="A383" s="2">
        <v>40544</v>
      </c>
      <c r="B383" s="3">
        <v>0.94</v>
      </c>
    </row>
    <row r="384" spans="1:2" x14ac:dyDescent="0.25">
      <c r="A384" s="2">
        <v>40575</v>
      </c>
      <c r="B384" s="3">
        <v>0.54</v>
      </c>
    </row>
    <row r="385" spans="1:2" x14ac:dyDescent="0.25">
      <c r="A385" s="2">
        <v>40603</v>
      </c>
      <c r="B385" s="3">
        <v>0.66</v>
      </c>
    </row>
    <row r="386" spans="1:2" x14ac:dyDescent="0.25">
      <c r="A386" s="2">
        <v>40634</v>
      </c>
      <c r="B386" s="3">
        <v>0.72</v>
      </c>
    </row>
    <row r="387" spans="1:2" x14ac:dyDescent="0.25">
      <c r="A387" s="2">
        <v>40664</v>
      </c>
      <c r="B387" s="3">
        <v>0.56999999999999995</v>
      </c>
    </row>
    <row r="388" spans="1:2" x14ac:dyDescent="0.25">
      <c r="A388" s="2">
        <v>40695</v>
      </c>
      <c r="B388" s="3">
        <v>0.22</v>
      </c>
    </row>
    <row r="389" spans="1:2" x14ac:dyDescent="0.25">
      <c r="A389" s="2">
        <v>40725</v>
      </c>
      <c r="B389" s="3">
        <v>0</v>
      </c>
    </row>
    <row r="390" spans="1:2" x14ac:dyDescent="0.25">
      <c r="A390" s="2">
        <v>40756</v>
      </c>
      <c r="B390" s="3">
        <v>0.42</v>
      </c>
    </row>
    <row r="391" spans="1:2" x14ac:dyDescent="0.25">
      <c r="A391" s="2">
        <v>40787</v>
      </c>
      <c r="B391" s="3">
        <v>0.45</v>
      </c>
    </row>
    <row r="392" spans="1:2" x14ac:dyDescent="0.25">
      <c r="A392" s="2">
        <v>40817</v>
      </c>
      <c r="B392" s="3">
        <v>0.32</v>
      </c>
    </row>
    <row r="393" spans="1:2" x14ac:dyDescent="0.25">
      <c r="A393" s="2">
        <v>40848</v>
      </c>
      <c r="B393" s="3">
        <v>0.56999999999999995</v>
      </c>
    </row>
    <row r="394" spans="1:2" x14ac:dyDescent="0.25">
      <c r="A394" s="2">
        <v>40878</v>
      </c>
      <c r="B394" s="3">
        <v>0.51</v>
      </c>
    </row>
    <row r="395" spans="1:2" x14ac:dyDescent="0.25">
      <c r="A395" s="2">
        <v>40909</v>
      </c>
      <c r="B395" s="3">
        <v>0.51</v>
      </c>
    </row>
    <row r="396" spans="1:2" x14ac:dyDescent="0.25">
      <c r="A396" s="2">
        <v>40940</v>
      </c>
      <c r="B396" s="3">
        <v>0.39</v>
      </c>
    </row>
    <row r="397" spans="1:2" x14ac:dyDescent="0.25">
      <c r="A397" s="2">
        <v>40969</v>
      </c>
      <c r="B397" s="3">
        <v>0.18</v>
      </c>
    </row>
    <row r="398" spans="1:2" x14ac:dyDescent="0.25">
      <c r="A398" s="2">
        <v>41000</v>
      </c>
      <c r="B398" s="3">
        <v>0.64</v>
      </c>
    </row>
    <row r="399" spans="1:2" x14ac:dyDescent="0.25">
      <c r="A399" s="2">
        <v>41030</v>
      </c>
      <c r="B399" s="3">
        <v>0.55000000000000004</v>
      </c>
    </row>
    <row r="400" spans="1:2" x14ac:dyDescent="0.25">
      <c r="A400" s="2">
        <v>41061</v>
      </c>
      <c r="B400" s="3">
        <v>0.26</v>
      </c>
    </row>
    <row r="401" spans="1:2" x14ac:dyDescent="0.25">
      <c r="A401" s="2">
        <v>41091</v>
      </c>
      <c r="B401" s="3">
        <v>0.43</v>
      </c>
    </row>
    <row r="402" spans="1:2" x14ac:dyDescent="0.25">
      <c r="A402" s="2">
        <v>41122</v>
      </c>
      <c r="B402" s="3">
        <v>0.45</v>
      </c>
    </row>
    <row r="403" spans="1:2" x14ac:dyDescent="0.25">
      <c r="A403" s="2">
        <v>41153</v>
      </c>
      <c r="B403" s="3">
        <v>0.63</v>
      </c>
    </row>
    <row r="404" spans="1:2" x14ac:dyDescent="0.25">
      <c r="A404" s="2">
        <v>41183</v>
      </c>
      <c r="B404" s="3">
        <v>0.71</v>
      </c>
    </row>
    <row r="405" spans="1:2" x14ac:dyDescent="0.25">
      <c r="A405" s="2">
        <v>41214</v>
      </c>
      <c r="B405" s="3">
        <v>0.54</v>
      </c>
    </row>
    <row r="406" spans="1:2" x14ac:dyDescent="0.25">
      <c r="A406" s="2">
        <v>41244</v>
      </c>
      <c r="B406" s="3">
        <v>0.74</v>
      </c>
    </row>
    <row r="407" spans="1:2" x14ac:dyDescent="0.25">
      <c r="A407" s="2">
        <v>41275</v>
      </c>
      <c r="B407" s="3">
        <v>0.92</v>
      </c>
    </row>
    <row r="408" spans="1:2" x14ac:dyDescent="0.25">
      <c r="A408" s="2">
        <v>41306</v>
      </c>
      <c r="B408" s="3">
        <v>0.52</v>
      </c>
    </row>
    <row r="409" spans="1:2" x14ac:dyDescent="0.25">
      <c r="A409" s="2">
        <v>41334</v>
      </c>
      <c r="B409" s="3">
        <v>0.6</v>
      </c>
    </row>
    <row r="410" spans="1:2" x14ac:dyDescent="0.25">
      <c r="A410" s="2">
        <v>41365</v>
      </c>
      <c r="B410" s="3">
        <v>0.59</v>
      </c>
    </row>
    <row r="411" spans="1:2" x14ac:dyDescent="0.25">
      <c r="A411" s="2">
        <v>41395</v>
      </c>
      <c r="B411" s="3">
        <v>0.35</v>
      </c>
    </row>
    <row r="412" spans="1:2" x14ac:dyDescent="0.25">
      <c r="A412" s="2">
        <v>41426</v>
      </c>
      <c r="B412" s="3">
        <v>0.28000000000000003</v>
      </c>
    </row>
    <row r="413" spans="1:2" x14ac:dyDescent="0.25">
      <c r="A413" s="2">
        <v>41456</v>
      </c>
      <c r="B413" s="3">
        <v>-0.13</v>
      </c>
    </row>
    <row r="414" spans="1:2" x14ac:dyDescent="0.25">
      <c r="A414" s="2">
        <v>41487</v>
      </c>
      <c r="B414" s="3">
        <v>0.16</v>
      </c>
    </row>
    <row r="415" spans="1:2" x14ac:dyDescent="0.25">
      <c r="A415" s="2">
        <v>41518</v>
      </c>
      <c r="B415" s="3">
        <v>0.27</v>
      </c>
    </row>
    <row r="416" spans="1:2" x14ac:dyDescent="0.25">
      <c r="A416" s="2">
        <v>41548</v>
      </c>
      <c r="B416" s="3">
        <v>0.61</v>
      </c>
    </row>
    <row r="417" spans="1:2" x14ac:dyDescent="0.25">
      <c r="A417" s="2">
        <v>41579</v>
      </c>
      <c r="B417" s="3">
        <v>0.54</v>
      </c>
    </row>
    <row r="418" spans="1:2" x14ac:dyDescent="0.25">
      <c r="A418" s="2">
        <v>41609</v>
      </c>
      <c r="B418" s="3">
        <v>0.72</v>
      </c>
    </row>
    <row r="419" spans="1:2" x14ac:dyDescent="0.25">
      <c r="A419" s="2">
        <v>41640</v>
      </c>
      <c r="B419" s="3">
        <v>0.63</v>
      </c>
    </row>
    <row r="420" spans="1:2" x14ac:dyDescent="0.25">
      <c r="A420" s="2">
        <v>41671</v>
      </c>
      <c r="B420" s="3">
        <v>0.64</v>
      </c>
    </row>
    <row r="421" spans="1:2" x14ac:dyDescent="0.25">
      <c r="A421" s="2">
        <v>41699</v>
      </c>
      <c r="B421" s="3">
        <v>0.82</v>
      </c>
    </row>
    <row r="422" spans="1:2" x14ac:dyDescent="0.25">
      <c r="A422" s="2">
        <v>41730</v>
      </c>
      <c r="B422" s="3">
        <v>0.78</v>
      </c>
    </row>
    <row r="423" spans="1:2" x14ac:dyDescent="0.25">
      <c r="A423" s="2">
        <v>41760</v>
      </c>
      <c r="B423" s="3">
        <v>0.6</v>
      </c>
    </row>
    <row r="424" spans="1:2" x14ac:dyDescent="0.25">
      <c r="A424" s="2">
        <v>41791</v>
      </c>
      <c r="B424" s="3">
        <v>0.26</v>
      </c>
    </row>
    <row r="425" spans="1:2" x14ac:dyDescent="0.25">
      <c r="A425" s="2">
        <v>41821</v>
      </c>
      <c r="B425" s="3">
        <v>0.13</v>
      </c>
    </row>
    <row r="426" spans="1:2" x14ac:dyDescent="0.25">
      <c r="A426" s="2">
        <v>41852</v>
      </c>
      <c r="B426" s="3">
        <v>0.18</v>
      </c>
    </row>
    <row r="427" spans="1:2" x14ac:dyDescent="0.25">
      <c r="A427" s="2">
        <v>41883</v>
      </c>
      <c r="B427" s="3">
        <v>0.49</v>
      </c>
    </row>
    <row r="428" spans="1:2" x14ac:dyDescent="0.25">
      <c r="A428" s="2">
        <v>41913</v>
      </c>
      <c r="B428" s="3">
        <v>0.38</v>
      </c>
    </row>
    <row r="429" spans="1:2" x14ac:dyDescent="0.25">
      <c r="A429" s="2">
        <v>41944</v>
      </c>
      <c r="B429" s="3">
        <v>0.53</v>
      </c>
    </row>
    <row r="430" spans="1:2" x14ac:dyDescent="0.25">
      <c r="A430" s="2">
        <v>41974</v>
      </c>
      <c r="B430" s="3">
        <v>0.62</v>
      </c>
    </row>
    <row r="431" spans="1:2" x14ac:dyDescent="0.25">
      <c r="A431" s="2">
        <v>42005</v>
      </c>
      <c r="B431" s="3">
        <v>1.48</v>
      </c>
    </row>
    <row r="432" spans="1:2" x14ac:dyDescent="0.25">
      <c r="A432" s="2">
        <v>42036</v>
      </c>
      <c r="B432" s="3">
        <v>1.1599999999999999</v>
      </c>
    </row>
    <row r="433" spans="1:2" x14ac:dyDescent="0.25">
      <c r="A433" s="2">
        <v>42064</v>
      </c>
      <c r="B433" s="3">
        <v>1.51</v>
      </c>
    </row>
    <row r="434" spans="1:2" x14ac:dyDescent="0.25">
      <c r="A434" s="2">
        <v>42095</v>
      </c>
      <c r="B434" s="3">
        <v>0.71</v>
      </c>
    </row>
    <row r="435" spans="1:2" x14ac:dyDescent="0.25">
      <c r="A435" s="2">
        <v>42125</v>
      </c>
      <c r="B435" s="3">
        <v>0.99</v>
      </c>
    </row>
    <row r="436" spans="1:2" x14ac:dyDescent="0.25">
      <c r="A436" s="2">
        <v>42156</v>
      </c>
      <c r="B436" s="3">
        <v>0.77</v>
      </c>
    </row>
    <row r="437" spans="1:2" x14ac:dyDescent="0.25">
      <c r="A437" s="2">
        <v>42186</v>
      </c>
      <c r="B437" s="3">
        <v>0.57999999999999996</v>
      </c>
    </row>
    <row r="438" spans="1:2" x14ac:dyDescent="0.25">
      <c r="A438" s="2">
        <v>42217</v>
      </c>
      <c r="B438" s="3">
        <v>0.25</v>
      </c>
    </row>
    <row r="439" spans="1:2" x14ac:dyDescent="0.25">
      <c r="A439" s="2">
        <v>42248</v>
      </c>
      <c r="B439" s="3">
        <v>0.51</v>
      </c>
    </row>
    <row r="440" spans="1:2" x14ac:dyDescent="0.25">
      <c r="A440" s="2">
        <v>42278</v>
      </c>
      <c r="B440" s="3">
        <v>0.77</v>
      </c>
    </row>
    <row r="441" spans="1:2" x14ac:dyDescent="0.25">
      <c r="A441" s="2">
        <v>42309</v>
      </c>
      <c r="B441" s="3">
        <v>1.1100000000000001</v>
      </c>
    </row>
    <row r="442" spans="1:2" x14ac:dyDescent="0.25">
      <c r="A442" s="2">
        <v>42339</v>
      </c>
      <c r="B442" s="3">
        <v>0.9</v>
      </c>
    </row>
    <row r="443" spans="1:2" x14ac:dyDescent="0.25">
      <c r="A443" s="2">
        <v>42370</v>
      </c>
      <c r="B443" s="3">
        <v>1.51</v>
      </c>
    </row>
    <row r="444" spans="1:2" x14ac:dyDescent="0.25">
      <c r="A444" s="2">
        <v>42401</v>
      </c>
      <c r="B444" s="3">
        <v>0.95</v>
      </c>
    </row>
    <row r="445" spans="1:2" x14ac:dyDescent="0.25">
      <c r="A445" s="2">
        <v>42430</v>
      </c>
      <c r="B445" s="3">
        <v>0.44</v>
      </c>
    </row>
    <row r="446" spans="1:2" x14ac:dyDescent="0.25">
      <c r="A446" s="2">
        <v>42461</v>
      </c>
      <c r="B446" s="3">
        <v>0.64</v>
      </c>
    </row>
    <row r="447" spans="1:2" x14ac:dyDescent="0.25">
      <c r="A447" s="2">
        <v>42491</v>
      </c>
      <c r="B447" s="3">
        <v>0.98</v>
      </c>
    </row>
    <row r="448" spans="1:2" x14ac:dyDescent="0.25">
      <c r="A448" s="2">
        <v>42522</v>
      </c>
      <c r="B448" s="3">
        <v>0.47</v>
      </c>
    </row>
    <row r="449" spans="1:2" x14ac:dyDescent="0.25">
      <c r="A449" s="2">
        <v>42552</v>
      </c>
      <c r="B449" s="3">
        <v>0.64</v>
      </c>
    </row>
    <row r="450" spans="1:2" x14ac:dyDescent="0.25">
      <c r="A450" s="2">
        <v>42583</v>
      </c>
      <c r="B450" s="3">
        <v>0.31</v>
      </c>
    </row>
    <row r="451" spans="1:2" x14ac:dyDescent="0.25">
      <c r="A451" s="2">
        <v>42614</v>
      </c>
      <c r="B451" s="3">
        <v>0.08</v>
      </c>
    </row>
    <row r="452" spans="1:2" x14ac:dyDescent="0.25">
      <c r="A452" s="2">
        <v>42644</v>
      </c>
      <c r="B452" s="3">
        <v>0.17</v>
      </c>
    </row>
    <row r="453" spans="1:2" x14ac:dyDescent="0.25">
      <c r="A453" s="2">
        <v>42675</v>
      </c>
      <c r="B453" s="3">
        <v>7.0000000000000007E-2</v>
      </c>
    </row>
    <row r="454" spans="1:2" x14ac:dyDescent="0.25">
      <c r="A454" s="2">
        <v>42705</v>
      </c>
      <c r="B454" s="3">
        <v>0.14000000000000001</v>
      </c>
    </row>
    <row r="455" spans="1:2" x14ac:dyDescent="0.25">
      <c r="A455" s="2">
        <v>42736</v>
      </c>
      <c r="B455" s="3">
        <v>0.42</v>
      </c>
    </row>
    <row r="456" spans="1:2" x14ac:dyDescent="0.25">
      <c r="A456" s="2">
        <v>42767</v>
      </c>
      <c r="B456" s="3">
        <v>0.24</v>
      </c>
    </row>
    <row r="457" spans="1:2" x14ac:dyDescent="0.25">
      <c r="A457" s="2">
        <v>42795</v>
      </c>
      <c r="B457" s="3">
        <v>0.32</v>
      </c>
    </row>
    <row r="458" spans="1:2" x14ac:dyDescent="0.25">
      <c r="A458" s="2">
        <v>42826</v>
      </c>
      <c r="B458" s="3">
        <v>0.08</v>
      </c>
    </row>
    <row r="459" spans="1:2" x14ac:dyDescent="0.25">
      <c r="A459" s="2">
        <v>42856</v>
      </c>
      <c r="B459" s="3">
        <v>0.36</v>
      </c>
    </row>
    <row r="460" spans="1:2" x14ac:dyDescent="0.25">
      <c r="A460" s="2">
        <v>42887</v>
      </c>
      <c r="B460" s="3">
        <v>-0.3</v>
      </c>
    </row>
    <row r="461" spans="1:2" x14ac:dyDescent="0.25">
      <c r="A461" s="2">
        <v>42917</v>
      </c>
      <c r="B461" s="3">
        <v>0.17</v>
      </c>
    </row>
    <row r="462" spans="1:2" x14ac:dyDescent="0.25">
      <c r="A462" s="2">
        <v>42948</v>
      </c>
      <c r="B462" s="3">
        <v>-0.03</v>
      </c>
    </row>
    <row r="463" spans="1:2" x14ac:dyDescent="0.25">
      <c r="A463" s="2">
        <v>42979</v>
      </c>
      <c r="B463" s="3">
        <v>-0.02</v>
      </c>
    </row>
    <row r="464" spans="1:2" x14ac:dyDescent="0.25">
      <c r="A464" s="2">
        <v>43009</v>
      </c>
      <c r="B464" s="3">
        <v>0.37</v>
      </c>
    </row>
    <row r="465" spans="1:2" x14ac:dyDescent="0.25">
      <c r="A465" s="2">
        <v>43040</v>
      </c>
      <c r="B465" s="3">
        <v>0.18</v>
      </c>
    </row>
    <row r="466" spans="1:2" x14ac:dyDescent="0.25">
      <c r="A466" s="2">
        <v>43070</v>
      </c>
      <c r="B466" s="3">
        <v>0.26</v>
      </c>
    </row>
    <row r="467" spans="1:2" x14ac:dyDescent="0.25">
      <c r="A467" s="2">
        <v>43101</v>
      </c>
      <c r="B467" s="3">
        <v>0.23</v>
      </c>
    </row>
    <row r="468" spans="1:2" x14ac:dyDescent="0.25">
      <c r="A468" s="2">
        <v>43132</v>
      </c>
      <c r="B468" s="3">
        <v>0.18</v>
      </c>
    </row>
    <row r="469" spans="1:2" x14ac:dyDescent="0.25">
      <c r="A469" s="2">
        <v>43160</v>
      </c>
      <c r="B469" s="3">
        <v>7.0000000000000007E-2</v>
      </c>
    </row>
    <row r="470" spans="1:2" x14ac:dyDescent="0.25">
      <c r="A470" s="2">
        <v>43191</v>
      </c>
      <c r="B470" s="3">
        <v>0.21</v>
      </c>
    </row>
    <row r="471" spans="1:2" x14ac:dyDescent="0.25">
      <c r="A471" s="2">
        <v>43221</v>
      </c>
      <c r="B471" s="3">
        <v>0.43</v>
      </c>
    </row>
    <row r="472" spans="1:2" x14ac:dyDescent="0.25">
      <c r="A472" s="2">
        <v>43252</v>
      </c>
      <c r="B472" s="3">
        <v>1.43</v>
      </c>
    </row>
    <row r="473" spans="1:2" x14ac:dyDescent="0.25">
      <c r="A473" s="2">
        <v>43282</v>
      </c>
      <c r="B473" s="3">
        <v>0.25</v>
      </c>
    </row>
    <row r="474" spans="1:2" x14ac:dyDescent="0.25">
      <c r="A474" s="2">
        <v>43313</v>
      </c>
      <c r="B474" s="3">
        <v>0</v>
      </c>
    </row>
    <row r="475" spans="1:2" x14ac:dyDescent="0.25">
      <c r="A475" s="2">
        <v>43344</v>
      </c>
      <c r="B475" s="3">
        <v>0.3</v>
      </c>
    </row>
    <row r="476" spans="1:2" x14ac:dyDescent="0.25">
      <c r="A476" s="2">
        <v>43374</v>
      </c>
      <c r="B476" s="3">
        <v>0.4</v>
      </c>
    </row>
    <row r="477" spans="1:2" x14ac:dyDescent="0.25">
      <c r="A477" s="2">
        <v>43405</v>
      </c>
      <c r="B477" s="3">
        <v>-0.25</v>
      </c>
    </row>
    <row r="478" spans="1:2" x14ac:dyDescent="0.25">
      <c r="A478" s="2">
        <v>43435</v>
      </c>
      <c r="B478" s="3">
        <v>0.14000000000000001</v>
      </c>
    </row>
    <row r="479" spans="1:2" x14ac:dyDescent="0.25">
      <c r="A479" s="2">
        <v>43466</v>
      </c>
      <c r="B479" s="3">
        <v>0.36</v>
      </c>
    </row>
    <row r="480" spans="1:2" x14ac:dyDescent="0.25">
      <c r="A480" s="2">
        <v>43497</v>
      </c>
      <c r="B480" s="3">
        <v>0.54</v>
      </c>
    </row>
    <row r="481" spans="1:2" x14ac:dyDescent="0.25">
      <c r="A481" s="2">
        <v>43525</v>
      </c>
      <c r="B481" s="3">
        <v>0.77</v>
      </c>
    </row>
    <row r="482" spans="1:2" x14ac:dyDescent="0.25">
      <c r="A482" s="2">
        <v>43556</v>
      </c>
      <c r="B482" s="3">
        <v>0.6</v>
      </c>
    </row>
    <row r="483" spans="1:2" x14ac:dyDescent="0.25">
      <c r="A483" s="2">
        <v>43586</v>
      </c>
      <c r="B483" s="3">
        <v>0.15</v>
      </c>
    </row>
    <row r="484" spans="1:2" x14ac:dyDescent="0.25">
      <c r="A484" s="2">
        <v>43617</v>
      </c>
      <c r="B484" s="3">
        <v>0.01</v>
      </c>
    </row>
    <row r="485" spans="1:2" x14ac:dyDescent="0.25">
      <c r="A485" s="2">
        <v>43647</v>
      </c>
      <c r="B485" s="3">
        <v>0.1</v>
      </c>
    </row>
    <row r="486" spans="1:2" x14ac:dyDescent="0.25">
      <c r="A486" s="2">
        <v>43678</v>
      </c>
      <c r="B486" s="3">
        <v>0.12</v>
      </c>
    </row>
    <row r="487" spans="1:2" x14ac:dyDescent="0.25">
      <c r="A487" s="2">
        <v>43709</v>
      </c>
      <c r="B487" s="3">
        <v>-0.05</v>
      </c>
    </row>
    <row r="488" spans="1:2" x14ac:dyDescent="0.25">
      <c r="A488" s="2">
        <v>43739</v>
      </c>
      <c r="B488" s="3">
        <v>0.04</v>
      </c>
    </row>
    <row r="489" spans="1:2" x14ac:dyDescent="0.25">
      <c r="A489" s="2">
        <v>43770</v>
      </c>
      <c r="B489" s="3">
        <v>0.54</v>
      </c>
    </row>
    <row r="490" spans="1:2" x14ac:dyDescent="0.25">
      <c r="A490" s="2">
        <v>43800</v>
      </c>
      <c r="B490" s="3">
        <v>1.22</v>
      </c>
    </row>
    <row r="491" spans="1:2" x14ac:dyDescent="0.25">
      <c r="A491" s="2">
        <v>43831</v>
      </c>
      <c r="B491" s="3">
        <v>0.19</v>
      </c>
    </row>
    <row r="492" spans="1:2" x14ac:dyDescent="0.25">
      <c r="A492" s="2">
        <v>43862</v>
      </c>
      <c r="B492" s="3">
        <v>0.17</v>
      </c>
    </row>
    <row r="493" spans="1:2" x14ac:dyDescent="0.25">
      <c r="A493" s="2">
        <v>43891</v>
      </c>
      <c r="B493" s="3">
        <v>0.18</v>
      </c>
    </row>
    <row r="494" spans="1:2" x14ac:dyDescent="0.25">
      <c r="A494" s="2">
        <v>43922</v>
      </c>
      <c r="B494" s="3">
        <v>-0.23</v>
      </c>
    </row>
    <row r="495" spans="1:2" x14ac:dyDescent="0.25">
      <c r="A495" s="2">
        <v>43952</v>
      </c>
      <c r="B495" s="3">
        <v>-0.25</v>
      </c>
    </row>
    <row r="496" spans="1:2" x14ac:dyDescent="0.25">
      <c r="A496" s="2">
        <v>43983</v>
      </c>
      <c r="B496" s="3">
        <v>0.3</v>
      </c>
    </row>
    <row r="497" spans="1:2" x14ac:dyDescent="0.25">
      <c r="A497" s="2">
        <v>44013</v>
      </c>
      <c r="B497" s="3">
        <v>0.44</v>
      </c>
    </row>
    <row r="498" spans="1:2" x14ac:dyDescent="0.25">
      <c r="A498" s="2">
        <v>44044</v>
      </c>
      <c r="B498" s="3">
        <v>0.36</v>
      </c>
    </row>
    <row r="499" spans="1:2" x14ac:dyDescent="0.25">
      <c r="A499" s="2">
        <v>44075</v>
      </c>
      <c r="B499" s="3">
        <v>0.87</v>
      </c>
    </row>
    <row r="500" spans="1:2" x14ac:dyDescent="0.25">
      <c r="A500" s="2">
        <v>44105</v>
      </c>
      <c r="B500" s="3">
        <v>0.89</v>
      </c>
    </row>
    <row r="501" spans="1:2" x14ac:dyDescent="0.25">
      <c r="A501" s="2">
        <v>44136</v>
      </c>
      <c r="B501" s="3">
        <v>0.95</v>
      </c>
    </row>
    <row r="502" spans="1:2" x14ac:dyDescent="0.25">
      <c r="A502" s="2">
        <v>44166</v>
      </c>
      <c r="B502" s="3">
        <v>1.46</v>
      </c>
    </row>
    <row r="503" spans="1:2" x14ac:dyDescent="0.25">
      <c r="A503" s="2">
        <v>44197</v>
      </c>
      <c r="B503" s="3">
        <v>0.27</v>
      </c>
    </row>
    <row r="504" spans="1:2" x14ac:dyDescent="0.25">
      <c r="A504" s="2">
        <v>44228</v>
      </c>
      <c r="B504" s="3">
        <v>0.82</v>
      </c>
    </row>
    <row r="505" spans="1:2" x14ac:dyDescent="0.25">
      <c r="A505" s="2">
        <v>44256</v>
      </c>
      <c r="B505" s="3">
        <v>0.86</v>
      </c>
    </row>
    <row r="506" spans="1:2" x14ac:dyDescent="0.25">
      <c r="A506" s="2">
        <v>44287</v>
      </c>
      <c r="B506" s="3">
        <v>0.38</v>
      </c>
    </row>
    <row r="507" spans="1:2" x14ac:dyDescent="0.25">
      <c r="A507" s="2">
        <v>44317</v>
      </c>
      <c r="B507" s="3">
        <v>0.96</v>
      </c>
    </row>
    <row r="508" spans="1:2" x14ac:dyDescent="0.25">
      <c r="A508" s="2">
        <v>44348</v>
      </c>
      <c r="B508" s="3">
        <v>0.6</v>
      </c>
    </row>
    <row r="509" spans="1:2" x14ac:dyDescent="0.25">
      <c r="A509" s="2">
        <v>44378</v>
      </c>
      <c r="B509" s="3">
        <v>1.02</v>
      </c>
    </row>
    <row r="510" spans="1:2" x14ac:dyDescent="0.25">
      <c r="A510" s="2">
        <v>44409</v>
      </c>
      <c r="B510" s="3">
        <v>0.88</v>
      </c>
    </row>
    <row r="511" spans="1:2" x14ac:dyDescent="0.25">
      <c r="A511" s="2">
        <v>44440</v>
      </c>
      <c r="B511" s="3">
        <v>1.2</v>
      </c>
    </row>
    <row r="512" spans="1:2" x14ac:dyDescent="0.25">
      <c r="A512" s="2">
        <v>44470</v>
      </c>
      <c r="B512" s="3">
        <v>1.1599999999999999</v>
      </c>
    </row>
    <row r="513" spans="1:2" x14ac:dyDescent="0.25">
      <c r="A513" s="2">
        <v>44501</v>
      </c>
      <c r="B513" s="3">
        <v>0.84</v>
      </c>
    </row>
    <row r="514" spans="1:2" x14ac:dyDescent="0.25">
      <c r="A514" s="2">
        <v>44531</v>
      </c>
      <c r="B514" s="3">
        <v>0.73</v>
      </c>
    </row>
    <row r="515" spans="1:2" x14ac:dyDescent="0.25">
      <c r="A515" s="2">
        <v>44562</v>
      </c>
      <c r="B515" s="3">
        <v>0.67</v>
      </c>
    </row>
    <row r="516" spans="1:2" x14ac:dyDescent="0.25">
      <c r="A516" s="2">
        <v>44593</v>
      </c>
      <c r="B516" s="3">
        <v>1</v>
      </c>
    </row>
    <row r="517" spans="1:2" x14ac:dyDescent="0.25">
      <c r="A517" s="2">
        <v>44621</v>
      </c>
      <c r="B517" s="3">
        <v>1.71</v>
      </c>
    </row>
    <row r="518" spans="1:2" x14ac:dyDescent="0.25">
      <c r="A518" s="2">
        <v>44652</v>
      </c>
      <c r="B518" s="3">
        <v>1.04</v>
      </c>
    </row>
    <row r="519" spans="1:2" x14ac:dyDescent="0.25">
      <c r="A519" s="2">
        <v>44682</v>
      </c>
      <c r="B519" s="3">
        <v>0.45</v>
      </c>
    </row>
    <row r="520" spans="1:2" x14ac:dyDescent="0.25">
      <c r="A520" s="2">
        <v>44713</v>
      </c>
      <c r="B520" s="3">
        <v>0.62</v>
      </c>
    </row>
    <row r="521" spans="1:2" x14ac:dyDescent="0.25">
      <c r="A521" s="2">
        <v>44743</v>
      </c>
      <c r="B521" s="3">
        <v>-0.6</v>
      </c>
    </row>
    <row r="522" spans="1:2" x14ac:dyDescent="0.25">
      <c r="A522" s="2">
        <v>44774</v>
      </c>
      <c r="B522" s="3">
        <v>-0.31</v>
      </c>
    </row>
    <row r="523" spans="1:2" x14ac:dyDescent="0.25">
      <c r="A523" s="2">
        <v>44805</v>
      </c>
      <c r="B523" s="3">
        <v>-0.32</v>
      </c>
    </row>
    <row r="524" spans="1:2" x14ac:dyDescent="0.25">
      <c r="A524" s="2">
        <v>44835</v>
      </c>
      <c r="B524" s="3">
        <v>0.47</v>
      </c>
    </row>
    <row r="525" spans="1:2" x14ac:dyDescent="0.25">
      <c r="A525" s="2">
        <v>44866</v>
      </c>
      <c r="B525" s="3">
        <v>0.38</v>
      </c>
    </row>
    <row r="526" spans="1:2" x14ac:dyDescent="0.25">
      <c r="A526" s="2">
        <v>44896</v>
      </c>
      <c r="B526" s="3">
        <v>0.69</v>
      </c>
    </row>
    <row r="527" spans="1:2" x14ac:dyDescent="0.25">
      <c r="A527" s="2">
        <v>44927</v>
      </c>
      <c r="B527" s="3">
        <v>0.46</v>
      </c>
    </row>
    <row r="528" spans="1:2" x14ac:dyDescent="0.25">
      <c r="A528" s="2">
        <v>44958</v>
      </c>
      <c r="B528" s="3">
        <v>0.77</v>
      </c>
    </row>
    <row r="529" spans="1:2" x14ac:dyDescent="0.25">
      <c r="A529" s="2">
        <v>44986</v>
      </c>
      <c r="B529" s="3">
        <v>0.64</v>
      </c>
    </row>
    <row r="530" spans="1:2" x14ac:dyDescent="0.25">
      <c r="A530" s="2">
        <v>45017</v>
      </c>
      <c r="B530" s="3">
        <v>0.53</v>
      </c>
    </row>
    <row r="531" spans="1:2" x14ac:dyDescent="0.25">
      <c r="A531" s="2">
        <v>45047</v>
      </c>
      <c r="B531" s="3">
        <v>0.36</v>
      </c>
    </row>
    <row r="532" spans="1:2" x14ac:dyDescent="0.25">
      <c r="A532" s="2">
        <v>45078</v>
      </c>
      <c r="B532" s="3">
        <v>-0.1</v>
      </c>
    </row>
    <row r="533" spans="1:2" x14ac:dyDescent="0.25">
      <c r="A533" s="2">
        <v>45108</v>
      </c>
      <c r="B533" s="3">
        <v>-0.09</v>
      </c>
    </row>
    <row r="534" spans="1:2" x14ac:dyDescent="0.25">
      <c r="A534" s="2">
        <v>45139</v>
      </c>
      <c r="B534" s="3">
        <v>0.2</v>
      </c>
    </row>
    <row r="535" spans="1:2" x14ac:dyDescent="0.25">
      <c r="A535" s="2">
        <v>45170</v>
      </c>
      <c r="B535" s="3">
        <v>0.11</v>
      </c>
    </row>
    <row r="536" spans="1:2" x14ac:dyDescent="0.25">
      <c r="A536" s="2">
        <v>45200</v>
      </c>
      <c r="B536" s="3">
        <v>0.12</v>
      </c>
    </row>
    <row r="537" spans="1:2" x14ac:dyDescent="0.25">
      <c r="A537" s="2">
        <v>45231</v>
      </c>
      <c r="B537" s="3">
        <v>0.1</v>
      </c>
    </row>
    <row r="538" spans="1:2" x14ac:dyDescent="0.25">
      <c r="A538" s="2">
        <v>45261</v>
      </c>
      <c r="B538" s="3">
        <v>0.55000000000000004</v>
      </c>
    </row>
    <row r="539" spans="1:2" x14ac:dyDescent="0.25">
      <c r="A539" s="2">
        <v>45292</v>
      </c>
      <c r="B539" s="3">
        <v>0.56999999999999995</v>
      </c>
    </row>
    <row r="540" spans="1:2" x14ac:dyDescent="0.25">
      <c r="A540" s="2">
        <v>45323</v>
      </c>
      <c r="B540" s="3">
        <v>0.81</v>
      </c>
    </row>
    <row r="541" spans="1:2" x14ac:dyDescent="0.25">
      <c r="A541" s="2">
        <v>45352</v>
      </c>
      <c r="B541" s="3">
        <v>0.19</v>
      </c>
    </row>
    <row r="542" spans="1:2" x14ac:dyDescent="0.25">
      <c r="A542" s="2">
        <v>45383</v>
      </c>
      <c r="B542" s="3">
        <v>0.37</v>
      </c>
    </row>
    <row r="543" spans="1:2" x14ac:dyDescent="0.25">
      <c r="A543" s="2">
        <v>45413</v>
      </c>
      <c r="B543" s="3">
        <v>0.46</v>
      </c>
    </row>
    <row r="544" spans="1:2" x14ac:dyDescent="0.25">
      <c r="A544" s="2">
        <v>45444</v>
      </c>
      <c r="B544" s="3">
        <v>0.25</v>
      </c>
    </row>
    <row r="545" spans="1:2" x14ac:dyDescent="0.25">
      <c r="A545" s="2">
        <v>45474</v>
      </c>
      <c r="B545" s="3">
        <v>0.26</v>
      </c>
    </row>
    <row r="546" spans="1:2" x14ac:dyDescent="0.25">
      <c r="A546" s="2">
        <v>45505</v>
      </c>
      <c r="B546" s="3">
        <v>-0.14000000000000001</v>
      </c>
    </row>
    <row r="547" spans="1:2" x14ac:dyDescent="0.25">
      <c r="A547" s="2">
        <v>45536</v>
      </c>
      <c r="B547" s="3">
        <v>0.48</v>
      </c>
    </row>
    <row r="548" spans="1:2" x14ac:dyDescent="0.25">
      <c r="A548" s="2">
        <v>45566</v>
      </c>
      <c r="B548" s="3">
        <v>0.61</v>
      </c>
    </row>
    <row r="549" spans="1:2" x14ac:dyDescent="0.25">
      <c r="A549" s="2">
        <v>45597</v>
      </c>
      <c r="B549" s="3">
        <v>0.33</v>
      </c>
    </row>
    <row r="550" spans="1:2" x14ac:dyDescent="0.25">
      <c r="A550" s="2">
        <v>45627</v>
      </c>
      <c r="B550" s="3">
        <v>0.48</v>
      </c>
    </row>
    <row r="551" spans="1:2" x14ac:dyDescent="0.25">
      <c r="A551" s="2">
        <v>45658</v>
      </c>
      <c r="B551" s="3">
        <v>0</v>
      </c>
    </row>
    <row r="552" spans="1:2" x14ac:dyDescent="0.25">
      <c r="A552" s="2">
        <v>45689</v>
      </c>
      <c r="B552" s="3">
        <v>1.48</v>
      </c>
    </row>
    <row r="553" spans="1:2" x14ac:dyDescent="0.25">
      <c r="A553" s="2">
        <v>45717</v>
      </c>
      <c r="B553" s="3">
        <v>0.51</v>
      </c>
    </row>
    <row r="554" spans="1:2" x14ac:dyDescent="0.25">
      <c r="A554" s="2">
        <v>45748</v>
      </c>
      <c r="B554" s="3">
        <v>0.48</v>
      </c>
    </row>
    <row r="555" spans="1:2" x14ac:dyDescent="0.25">
      <c r="A555" s="2">
        <v>45778</v>
      </c>
      <c r="B555" s="3">
        <v>0.35</v>
      </c>
    </row>
    <row r="556" spans="1:2" x14ac:dyDescent="0.25">
      <c r="A556" s="2">
        <v>45809</v>
      </c>
      <c r="B556" s="3">
        <v>0.23</v>
      </c>
    </row>
    <row r="557" spans="1:2" x14ac:dyDescent="0.25">
      <c r="A557" s="2">
        <v>45839</v>
      </c>
      <c r="B557" s="3">
        <v>0.21</v>
      </c>
    </row>
    <row r="558" spans="1:2" x14ac:dyDescent="0.25">
      <c r="A558" s="2">
        <v>45870</v>
      </c>
      <c r="B558" s="3">
        <v>-0.21</v>
      </c>
    </row>
    <row r="559" spans="1:2" x14ac:dyDescent="0.25">
      <c r="A559" s="2">
        <v>45901</v>
      </c>
      <c r="B559" s="3">
        <v>0.52</v>
      </c>
    </row>
    <row r="560" spans="1:2" x14ac:dyDescent="0.25">
      <c r="A560" s="2">
        <v>45931</v>
      </c>
      <c r="B560" s="3">
        <v>0.03</v>
      </c>
    </row>
    <row r="561" spans="1:2" x14ac:dyDescent="0.25">
      <c r="A561" s="2">
        <v>45962</v>
      </c>
      <c r="B561" s="3">
        <v>0.03</v>
      </c>
    </row>
    <row r="562" spans="1:2" x14ac:dyDescent="0.25">
      <c r="A562" s="2">
        <v>45992</v>
      </c>
      <c r="B562" s="3">
        <v>0.21</v>
      </c>
    </row>
    <row r="563" spans="1:2" x14ac:dyDescent="0.25">
      <c r="A563" s="2">
        <v>46023</v>
      </c>
      <c r="B563" s="5">
        <v>0.39</v>
      </c>
    </row>
    <row r="564" spans="1:2" x14ac:dyDescent="0.25">
      <c r="A564" s="2">
        <v>46054</v>
      </c>
      <c r="B564" s="5">
        <v>0.56000000000000005</v>
      </c>
    </row>
    <row r="565" spans="1:2" x14ac:dyDescent="0.25">
      <c r="A565" s="90">
        <v>46082</v>
      </c>
      <c r="B565" s="5">
        <v>0.91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5196B-9B0F-43B8-A564-2EBBA690E6C2}">
  <sheetPr codeName="Planilha10"/>
  <dimension ref="A1:X2"/>
  <sheetViews>
    <sheetView topLeftCell="M1" workbookViewId="0">
      <selection activeCell="A2" sqref="A2:X2"/>
    </sheetView>
  </sheetViews>
  <sheetFormatPr defaultRowHeight="15" x14ac:dyDescent="0.25"/>
  <cols>
    <col min="1" max="1" width="10.28515625" customWidth="1"/>
    <col min="2" max="2" width="35.85546875" bestFit="1" customWidth="1"/>
    <col min="3" max="3" width="15.42578125" customWidth="1"/>
    <col min="4" max="4" width="21.5703125" bestFit="1" customWidth="1"/>
    <col min="5" max="5" width="40" customWidth="1"/>
    <col min="6" max="6" width="22.5703125" bestFit="1" customWidth="1"/>
    <col min="7" max="7" width="19.5703125" bestFit="1" customWidth="1"/>
    <col min="8" max="8" width="21.5703125" customWidth="1"/>
    <col min="9" max="9" width="17.28515625" customWidth="1"/>
    <col min="10" max="10" width="20.85546875" bestFit="1" customWidth="1"/>
    <col min="11" max="11" width="24.28515625" customWidth="1"/>
    <col min="12" max="12" width="30.140625" bestFit="1" customWidth="1"/>
    <col min="13" max="13" width="15.7109375" bestFit="1" customWidth="1"/>
    <col min="14" max="14" width="11.28515625" customWidth="1"/>
    <col min="15" max="15" width="9.85546875" customWidth="1"/>
    <col min="16" max="17" width="11.7109375" customWidth="1"/>
    <col min="18" max="18" width="45.28515625" customWidth="1"/>
    <col min="19" max="19" width="30.7109375" customWidth="1"/>
    <col min="20" max="20" width="19.5703125" bestFit="1" customWidth="1"/>
    <col min="21" max="21" width="56.85546875" customWidth="1"/>
    <col min="22" max="22" width="16.5703125" customWidth="1"/>
    <col min="23" max="23" width="16.42578125" bestFit="1" customWidth="1"/>
    <col min="24" max="24" width="61.140625" customWidth="1"/>
  </cols>
  <sheetData>
    <row r="1" spans="1:24" x14ac:dyDescent="0.25">
      <c r="A1" t="s">
        <v>322</v>
      </c>
      <c r="B1" t="s">
        <v>290</v>
      </c>
      <c r="C1" t="s">
        <v>5</v>
      </c>
      <c r="D1" t="s">
        <v>28</v>
      </c>
      <c r="E1" t="s">
        <v>333</v>
      </c>
      <c r="F1" t="s">
        <v>327</v>
      </c>
      <c r="G1" t="s">
        <v>7</v>
      </c>
      <c r="H1" t="s">
        <v>22</v>
      </c>
      <c r="I1" t="s">
        <v>0</v>
      </c>
      <c r="J1" t="s">
        <v>3</v>
      </c>
      <c r="K1" t="s">
        <v>1</v>
      </c>
      <c r="L1" t="s">
        <v>337</v>
      </c>
      <c r="M1" t="s">
        <v>6</v>
      </c>
      <c r="N1" t="s">
        <v>41</v>
      </c>
      <c r="O1" t="s">
        <v>8</v>
      </c>
      <c r="P1" s="72" t="s">
        <v>300</v>
      </c>
      <c r="Q1" s="72" t="s">
        <v>299</v>
      </c>
      <c r="R1" t="s">
        <v>21</v>
      </c>
      <c r="S1" t="s">
        <v>12</v>
      </c>
      <c r="T1" t="s">
        <v>11</v>
      </c>
      <c r="U1" t="s">
        <v>319</v>
      </c>
      <c r="V1" t="s">
        <v>334</v>
      </c>
      <c r="W1" t="s">
        <v>2</v>
      </c>
      <c r="X1" t="s">
        <v>341</v>
      </c>
    </row>
    <row r="2" spans="1:24" x14ac:dyDescent="0.25">
      <c r="A2" t="s">
        <v>31</v>
      </c>
      <c r="B2" t="s">
        <v>24</v>
      </c>
      <c r="C2" s="72"/>
      <c r="D2" s="72"/>
      <c r="E2" s="72"/>
      <c r="F2" t="s">
        <v>24</v>
      </c>
      <c r="G2">
        <v>0</v>
      </c>
      <c r="H2">
        <v>0</v>
      </c>
      <c r="I2" s="72"/>
      <c r="J2" s="72"/>
      <c r="K2" s="72"/>
      <c r="L2" s="72"/>
      <c r="M2" s="93"/>
      <c r="N2" t="b">
        <v>0</v>
      </c>
      <c r="O2" s="4"/>
      <c r="P2" s="72" t="s">
        <v>328</v>
      </c>
      <c r="Q2" s="72" t="s">
        <v>328</v>
      </c>
      <c r="R2" s="92" t="e">
        <v>#VALUE!</v>
      </c>
      <c r="S2" s="92" t="s">
        <v>335</v>
      </c>
      <c r="T2" s="4">
        <v>46125</v>
      </c>
      <c r="U2" t="s">
        <v>311</v>
      </c>
      <c r="V2" t="s">
        <v>311</v>
      </c>
      <c r="W2" t="s">
        <v>344</v>
      </c>
      <c r="X2" t="s">
        <v>342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4773-A91A-4216-9892-ECC217311AC6}">
  <sheetPr codeName="Planilha13"/>
  <dimension ref="A1:J52"/>
  <sheetViews>
    <sheetView workbookViewId="0">
      <selection activeCell="G7" sqref="G7"/>
    </sheetView>
  </sheetViews>
  <sheetFormatPr defaultRowHeight="17.25" thickTop="1" thickBottom="1" x14ac:dyDescent="0.3"/>
  <cols>
    <col min="1" max="1" width="10.28515625" style="58" customWidth="1"/>
    <col min="2" max="2" width="18.42578125" style="59" bestFit="1" customWidth="1"/>
    <col min="3" max="3" width="23.7109375" style="59" bestFit="1" customWidth="1"/>
    <col min="4" max="4" width="20.140625" style="66" bestFit="1" customWidth="1"/>
    <col min="5" max="5" width="23.85546875" style="61" bestFit="1" customWidth="1"/>
    <col min="6" max="6" width="22.5703125" style="61" bestFit="1" customWidth="1"/>
    <col min="7" max="7" width="19" style="63" bestFit="1" customWidth="1"/>
    <col min="8" max="8" width="17.5703125" style="7" bestFit="1" customWidth="1"/>
    <col min="9" max="9" width="16.140625" style="64" bestFit="1" customWidth="1"/>
    <col min="10" max="10" width="16.42578125" style="64" bestFit="1" customWidth="1"/>
  </cols>
  <sheetData>
    <row r="1" spans="1:10" thickTop="1" thickBot="1" x14ac:dyDescent="0.3">
      <c r="A1" s="58" t="s">
        <v>322</v>
      </c>
      <c r="B1" s="59" t="s">
        <v>5</v>
      </c>
      <c r="C1" s="59" t="s">
        <v>348</v>
      </c>
      <c r="D1" s="60" t="s">
        <v>319</v>
      </c>
      <c r="E1" s="61" t="s">
        <v>333</v>
      </c>
      <c r="F1" s="62" t="s">
        <v>8</v>
      </c>
      <c r="G1" s="63" t="s">
        <v>320</v>
      </c>
      <c r="H1" s="69" t="s">
        <v>6</v>
      </c>
      <c r="I1" s="61" t="s">
        <v>300</v>
      </c>
      <c r="J1" s="61" t="s">
        <v>299</v>
      </c>
    </row>
    <row r="2" spans="1:10" thickTop="1" thickBot="1" x14ac:dyDescent="0.3">
      <c r="A2" s="58" t="s">
        <v>31</v>
      </c>
      <c r="B2" s="59" t="s">
        <v>323</v>
      </c>
      <c r="C2" s="59" t="s">
        <v>324</v>
      </c>
      <c r="D2" s="60" t="s">
        <v>311</v>
      </c>
      <c r="E2" s="64">
        <v>103379975</v>
      </c>
      <c r="F2" s="67">
        <v>45636</v>
      </c>
      <c r="G2" s="65">
        <f ca="1">TODAY()</f>
        <v>46128</v>
      </c>
      <c r="H2" s="61">
        <v>1235.72</v>
      </c>
      <c r="I2" s="64" t="s">
        <v>325</v>
      </c>
      <c r="J2" s="64" t="s">
        <v>326</v>
      </c>
    </row>
    <row r="3" spans="1:10" thickTop="1" thickBot="1" x14ac:dyDescent="0.3">
      <c r="D3" s="60"/>
      <c r="E3" s="64"/>
      <c r="F3" s="67"/>
      <c r="G3" s="65"/>
    </row>
    <row r="4" spans="1:10" thickTop="1" thickBot="1" x14ac:dyDescent="0.3">
      <c r="D4" s="60"/>
      <c r="E4" s="64"/>
      <c r="F4" s="67"/>
      <c r="G4" s="65"/>
    </row>
    <row r="5" spans="1:10" thickTop="1" thickBot="1" x14ac:dyDescent="0.3">
      <c r="D5" s="60"/>
      <c r="F5" s="67"/>
      <c r="G5" s="65"/>
    </row>
    <row r="6" spans="1:10" thickTop="1" thickBot="1" x14ac:dyDescent="0.3">
      <c r="D6" s="60"/>
      <c r="F6" s="67"/>
      <c r="G6" s="65"/>
    </row>
    <row r="7" spans="1:10" thickTop="1" thickBot="1" x14ac:dyDescent="0.3">
      <c r="D7" s="60"/>
      <c r="F7" s="67"/>
      <c r="G7" s="65"/>
    </row>
    <row r="8" spans="1:10" thickTop="1" thickBot="1" x14ac:dyDescent="0.3">
      <c r="D8" s="60"/>
      <c r="F8" s="67"/>
      <c r="G8" s="65"/>
    </row>
    <row r="9" spans="1:10" thickTop="1" thickBot="1" x14ac:dyDescent="0.3">
      <c r="D9" s="60"/>
      <c r="F9" s="67"/>
      <c r="G9" s="65"/>
    </row>
    <row r="10" spans="1:10" thickTop="1" thickBot="1" x14ac:dyDescent="0.3">
      <c r="D10" s="60"/>
      <c r="F10" s="67"/>
      <c r="G10" s="65"/>
    </row>
    <row r="11" spans="1:10" thickTop="1" thickBot="1" x14ac:dyDescent="0.3">
      <c r="D11" s="60"/>
      <c r="F11" s="67"/>
      <c r="G11" s="65"/>
    </row>
    <row r="12" spans="1:10" thickTop="1" thickBot="1" x14ac:dyDescent="0.3">
      <c r="D12" s="60"/>
      <c r="F12" s="67"/>
      <c r="G12" s="65"/>
    </row>
    <row r="13" spans="1:10" thickTop="1" thickBot="1" x14ac:dyDescent="0.3">
      <c r="D13" s="60"/>
      <c r="F13" s="67"/>
      <c r="G13" s="65"/>
    </row>
    <row r="14" spans="1:10" thickTop="1" thickBot="1" x14ac:dyDescent="0.3">
      <c r="D14" s="60"/>
      <c r="F14" s="67"/>
      <c r="G14" s="65"/>
    </row>
    <row r="15" spans="1:10" thickTop="1" thickBot="1" x14ac:dyDescent="0.3">
      <c r="D15" s="60"/>
      <c r="F15" s="67"/>
      <c r="G15" s="68"/>
    </row>
    <row r="16" spans="1:10" thickTop="1" thickBot="1" x14ac:dyDescent="0.3">
      <c r="D16" s="60"/>
      <c r="F16" s="67"/>
      <c r="G16" s="65"/>
    </row>
    <row r="17" spans="4:7" thickTop="1" thickBot="1" x14ac:dyDescent="0.3">
      <c r="D17" s="60"/>
      <c r="F17" s="67"/>
      <c r="G17" s="65"/>
    </row>
    <row r="18" spans="4:7" thickTop="1" thickBot="1" x14ac:dyDescent="0.3">
      <c r="D18" s="60"/>
      <c r="F18" s="67"/>
      <c r="G18" s="65"/>
    </row>
    <row r="19" spans="4:7" thickTop="1" thickBot="1" x14ac:dyDescent="0.3">
      <c r="D19" s="60"/>
      <c r="F19" s="67"/>
      <c r="G19" s="65"/>
    </row>
    <row r="20" spans="4:7" thickTop="1" thickBot="1" x14ac:dyDescent="0.3">
      <c r="D20" s="60"/>
      <c r="F20" s="67"/>
      <c r="G20" s="65"/>
    </row>
    <row r="21" spans="4:7" thickTop="1" thickBot="1" x14ac:dyDescent="0.3">
      <c r="D21" s="60"/>
      <c r="F21" s="67"/>
      <c r="G21" s="65"/>
    </row>
    <row r="22" spans="4:7" thickTop="1" thickBot="1" x14ac:dyDescent="0.3">
      <c r="D22" s="60"/>
      <c r="F22" s="67"/>
      <c r="G22" s="65"/>
    </row>
    <row r="23" spans="4:7" thickTop="1" thickBot="1" x14ac:dyDescent="0.3">
      <c r="D23" s="60"/>
      <c r="F23" s="67"/>
      <c r="G23" s="65"/>
    </row>
    <row r="24" spans="4:7" thickTop="1" thickBot="1" x14ac:dyDescent="0.3">
      <c r="D24" s="60"/>
      <c r="F24" s="67"/>
      <c r="G24" s="65"/>
    </row>
    <row r="25" spans="4:7" thickTop="1" thickBot="1" x14ac:dyDescent="0.3">
      <c r="D25" s="60"/>
      <c r="F25" s="67"/>
      <c r="G25" s="65"/>
    </row>
    <row r="26" spans="4:7" thickTop="1" thickBot="1" x14ac:dyDescent="0.3">
      <c r="D26" s="60"/>
      <c r="F26" s="67"/>
      <c r="G26" s="65"/>
    </row>
    <row r="27" spans="4:7" thickTop="1" thickBot="1" x14ac:dyDescent="0.3">
      <c r="D27" s="60"/>
      <c r="F27" s="67"/>
      <c r="G27" s="65"/>
    </row>
    <row r="28" spans="4:7" thickTop="1" thickBot="1" x14ac:dyDescent="0.3">
      <c r="D28" s="60"/>
      <c r="F28" s="67"/>
      <c r="G28" s="65"/>
    </row>
    <row r="29" spans="4:7" thickTop="1" thickBot="1" x14ac:dyDescent="0.3">
      <c r="D29" s="60"/>
      <c r="F29" s="67"/>
      <c r="G29" s="65"/>
    </row>
    <row r="30" spans="4:7" thickTop="1" thickBot="1" x14ac:dyDescent="0.3">
      <c r="D30" s="60"/>
      <c r="F30" s="67"/>
      <c r="G30" s="65"/>
    </row>
    <row r="31" spans="4:7" thickTop="1" thickBot="1" x14ac:dyDescent="0.3">
      <c r="D31" s="60"/>
      <c r="F31" s="67"/>
      <c r="G31" s="65"/>
    </row>
    <row r="32" spans="4:7" thickTop="1" thickBot="1" x14ac:dyDescent="0.3">
      <c r="D32" s="60"/>
      <c r="F32" s="67"/>
      <c r="G32" s="65"/>
    </row>
    <row r="33" spans="4:7" thickTop="1" thickBot="1" x14ac:dyDescent="0.3">
      <c r="D33" s="60"/>
      <c r="F33" s="67"/>
      <c r="G33" s="65"/>
    </row>
    <row r="34" spans="4:7" thickTop="1" thickBot="1" x14ac:dyDescent="0.3">
      <c r="D34" s="60"/>
      <c r="F34" s="67"/>
      <c r="G34" s="65"/>
    </row>
    <row r="35" spans="4:7" thickTop="1" thickBot="1" x14ac:dyDescent="0.3">
      <c r="D35" s="60"/>
      <c r="F35" s="67"/>
      <c r="G35" s="65"/>
    </row>
    <row r="36" spans="4:7" thickTop="1" thickBot="1" x14ac:dyDescent="0.3">
      <c r="D36" s="60"/>
      <c r="F36" s="67"/>
      <c r="G36" s="65"/>
    </row>
    <row r="37" spans="4:7" thickTop="1" thickBot="1" x14ac:dyDescent="0.3">
      <c r="D37" s="60"/>
      <c r="F37" s="67"/>
      <c r="G37" s="65"/>
    </row>
    <row r="38" spans="4:7" thickTop="1" thickBot="1" x14ac:dyDescent="0.3">
      <c r="D38" s="60"/>
      <c r="F38" s="67"/>
      <c r="G38" s="65"/>
    </row>
    <row r="39" spans="4:7" thickTop="1" thickBot="1" x14ac:dyDescent="0.3">
      <c r="D39" s="60"/>
      <c r="F39" s="67"/>
      <c r="G39" s="65"/>
    </row>
    <row r="40" spans="4:7" thickTop="1" thickBot="1" x14ac:dyDescent="0.3">
      <c r="D40" s="60"/>
      <c r="F40" s="67"/>
      <c r="G40" s="65"/>
    </row>
    <row r="41" spans="4:7" thickTop="1" thickBot="1" x14ac:dyDescent="0.3">
      <c r="D41" s="60"/>
      <c r="F41" s="67"/>
      <c r="G41" s="65"/>
    </row>
    <row r="42" spans="4:7" thickTop="1" thickBot="1" x14ac:dyDescent="0.3">
      <c r="D42" s="60"/>
      <c r="F42" s="67"/>
      <c r="G42" s="65"/>
    </row>
    <row r="43" spans="4:7" thickTop="1" thickBot="1" x14ac:dyDescent="0.3">
      <c r="D43" s="60"/>
      <c r="F43" s="67"/>
      <c r="G43" s="65"/>
    </row>
    <row r="44" spans="4:7" thickTop="1" thickBot="1" x14ac:dyDescent="0.3">
      <c r="D44" s="60"/>
      <c r="F44" s="67"/>
      <c r="G44" s="65"/>
    </row>
    <row r="45" spans="4:7" thickTop="1" thickBot="1" x14ac:dyDescent="0.3">
      <c r="D45" s="60"/>
      <c r="F45" s="67"/>
      <c r="G45" s="65"/>
    </row>
    <row r="46" spans="4:7" thickTop="1" thickBot="1" x14ac:dyDescent="0.3">
      <c r="D46" s="60"/>
      <c r="F46" s="67"/>
      <c r="G46" s="65"/>
    </row>
    <row r="47" spans="4:7" thickTop="1" thickBot="1" x14ac:dyDescent="0.3">
      <c r="D47" s="60"/>
      <c r="F47" s="67"/>
      <c r="G47" s="65"/>
    </row>
    <row r="48" spans="4:7" thickTop="1" thickBot="1" x14ac:dyDescent="0.3">
      <c r="D48" s="60"/>
      <c r="F48" s="67"/>
      <c r="G48" s="65"/>
    </row>
    <row r="49" spans="4:7" thickTop="1" thickBot="1" x14ac:dyDescent="0.3">
      <c r="D49" s="60"/>
      <c r="F49" s="67"/>
      <c r="G49" s="65"/>
    </row>
    <row r="50" spans="4:7" thickTop="1" thickBot="1" x14ac:dyDescent="0.3">
      <c r="D50" s="60"/>
      <c r="F50" s="67"/>
      <c r="G50" s="65"/>
    </row>
    <row r="51" spans="4:7" thickTop="1" thickBot="1" x14ac:dyDescent="0.3">
      <c r="D51" s="60"/>
      <c r="F51" s="67"/>
      <c r="G51" s="65"/>
    </row>
    <row r="52" spans="4:7" thickTop="1" thickBot="1" x14ac:dyDescent="0.3">
      <c r="D52" s="60"/>
      <c r="F52" s="67"/>
      <c r="G52" s="65"/>
    </row>
  </sheetData>
  <dataConsolidate/>
  <dataValidations count="4">
    <dataValidation type="custom" allowBlank="1" showInputMessage="1" showErrorMessage="1" errorTitle="Número de Caracteres Inválido" error="DARE - 17 dígitos_x000a_GNRE - 16 dígitos" sqref="C2" xr:uid="{6705B67A-1C1E-41C8-B45C-07E626FB6F0D}">
      <formula1>OR(AND(A2="DARE", LEN(C2)=17), AND(A2="GNRE", LEN(C2)=16))</formula1>
    </dataValidation>
    <dataValidation type="textLength" operator="equal" allowBlank="1" showInputMessage="1" showErrorMessage="1" errorTitle="Número de Caracteres Inválido" error="Deve conter &quot;5&quot; dígitos." sqref="I2:J2" xr:uid="{945A5801-CB6F-43A9-B559-C8C35C1FC900}">
      <formula1>5</formula1>
    </dataValidation>
    <dataValidation type="custom" allowBlank="1" showInputMessage="1" showErrorMessage="1" errorTitle="Número de caracteres inválido" error="Inscrição - 9 dígitos_x000a_CNPJ - 14 dígitos_x000a_CPF - 11 dígitos_x000a_Placa - 7 dígitos" sqref="E2" xr:uid="{B6C0949E-9205-4610-BB7C-AB9BC28869DF}">
      <formula1>OR(AND(D2="CPF", LEN(E2)=11), AND(D2="CNPJ", LEN(E2)=14), AND(D2="PLACA", LEN(E2)=7), AND(D2="Inscrição", LEN(E2)=9))</formula1>
    </dataValidation>
    <dataValidation operator="equal" allowBlank="1" showInputMessage="1" showErrorMessage="1" sqref="I3:J1048576" xr:uid="{EC213D90-C3D8-45C7-B920-AD829B8D0868}"/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9221C1-4792-4BC7-A2C7-00F1AD3BBD53}">
          <x14:formula1>
            <xm:f>Configurações!$L$2:$L$6</xm:f>
          </x14:formula1>
          <xm:sqref>D2</xm:sqref>
        </x14:dataValidation>
        <x14:dataValidation type="list" allowBlank="1" showInputMessage="1" showErrorMessage="1" xr:uid="{70E3500E-42AF-4E57-9313-4BD618CCC1E8}">
          <x14:formula1>
            <xm:f>Configurações!$N$2:$N$4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B1:L9"/>
  <sheetViews>
    <sheetView showGridLines="0" workbookViewId="0">
      <pane ySplit="3" topLeftCell="A4" activePane="bottomLeft" state="frozen"/>
      <selection pane="bottomLeft" activeCell="B3" sqref="B3:C3"/>
    </sheetView>
  </sheetViews>
  <sheetFormatPr defaultRowHeight="15" x14ac:dyDescent="0.25"/>
  <cols>
    <col min="1" max="1" width="1.28515625" customWidth="1"/>
    <col min="2" max="2" width="4.7109375" customWidth="1"/>
    <col min="3" max="3" width="20.7109375" customWidth="1"/>
    <col min="4" max="4" width="13.5703125" style="28" bestFit="1" customWidth="1"/>
    <col min="5" max="5" width="15.7109375" style="28" customWidth="1"/>
    <col min="6" max="6" width="15.7109375" customWidth="1"/>
    <col min="7" max="7" width="0.85546875" customWidth="1"/>
    <col min="8" max="8" width="15.7109375" style="28" customWidth="1"/>
    <col min="9" max="9" width="2.7109375" customWidth="1"/>
  </cols>
  <sheetData>
    <row r="1" spans="2:12" ht="4.5" customHeight="1" x14ac:dyDescent="0.25"/>
    <row r="2" spans="2:12" ht="17.25" customHeight="1" x14ac:dyDescent="0.25">
      <c r="B2" s="146" t="s">
        <v>29</v>
      </c>
      <c r="C2" s="147"/>
      <c r="D2" s="147"/>
      <c r="E2" s="147"/>
      <c r="F2" s="148"/>
      <c r="H2" s="149" t="s">
        <v>30</v>
      </c>
      <c r="J2" s="29"/>
      <c r="K2" s="30"/>
      <c r="L2" s="30"/>
    </row>
    <row r="3" spans="2:12" ht="30" x14ac:dyDescent="0.25">
      <c r="B3" s="151" t="s">
        <v>31</v>
      </c>
      <c r="C3" s="152"/>
      <c r="D3" s="31" t="s">
        <v>32</v>
      </c>
      <c r="E3" s="31" t="s">
        <v>33</v>
      </c>
      <c r="F3" s="32" t="s">
        <v>34</v>
      </c>
      <c r="H3" s="150"/>
      <c r="J3" s="29"/>
      <c r="K3" s="30"/>
      <c r="L3" s="30"/>
    </row>
    <row r="4" spans="2:12" x14ac:dyDescent="0.25">
      <c r="B4" s="33">
        <v>1</v>
      </c>
      <c r="C4" s="34" t="s">
        <v>35</v>
      </c>
      <c r="D4" s="35">
        <v>45132</v>
      </c>
      <c r="E4" s="36">
        <v>566.04999999999995</v>
      </c>
      <c r="F4" s="37">
        <f ca="1">GEFIN_SEFAZ(D4,TODAY(),E4,)</f>
        <v>715.96</v>
      </c>
      <c r="H4" s="38">
        <f t="shared" ref="H4:H6" ca="1" si="0">F4/19</f>
        <v>37.682105263157894</v>
      </c>
    </row>
    <row r="5" spans="2:12" x14ac:dyDescent="0.25">
      <c r="B5" s="33">
        <v>2</v>
      </c>
      <c r="C5" s="33" t="s">
        <v>36</v>
      </c>
      <c r="D5" s="39">
        <v>45134</v>
      </c>
      <c r="E5" s="40">
        <v>5280.78</v>
      </c>
      <c r="F5" s="37">
        <f t="shared" ref="F5:F6" ca="1" si="1">GEFIN_SEFAZ(D5,TODAY(),E5,)</f>
        <v>6679.29</v>
      </c>
      <c r="H5" s="41">
        <f t="shared" ca="1" si="0"/>
        <v>351.54157894736841</v>
      </c>
    </row>
    <row r="6" spans="2:12" x14ac:dyDescent="0.25">
      <c r="B6" s="33">
        <v>3</v>
      </c>
      <c r="C6" s="33" t="s">
        <v>37</v>
      </c>
      <c r="D6" s="39">
        <v>45135</v>
      </c>
      <c r="E6" s="40">
        <v>5280.78</v>
      </c>
      <c r="F6" s="37">
        <f t="shared" ca="1" si="1"/>
        <v>6679.29</v>
      </c>
      <c r="H6" s="41">
        <f t="shared" ca="1" si="0"/>
        <v>351.54157894736841</v>
      </c>
    </row>
    <row r="7" spans="2:12" x14ac:dyDescent="0.25">
      <c r="B7" s="153" t="s">
        <v>38</v>
      </c>
      <c r="C7" s="154"/>
      <c r="D7" s="154"/>
      <c r="E7" s="42">
        <f>SUM(E4:E6)</f>
        <v>11127.61</v>
      </c>
      <c r="F7" s="43">
        <f ca="1">SUM(F4:F6)</f>
        <v>14074.54</v>
      </c>
      <c r="H7" s="44">
        <f ca="1">SUM(H4:H6)</f>
        <v>740.76526315789465</v>
      </c>
    </row>
    <row r="8" spans="2:12" ht="13.5" customHeight="1" x14ac:dyDescent="0.25">
      <c r="B8" s="155" t="str">
        <f ca="1">IF(F7/19&gt;6395.52,CONCATENATE("Atenção!",CHAR(10),"A despesa de exação deve ser limitada ao valor de R$ 6.395,52."),"")</f>
        <v/>
      </c>
      <c r="C8" s="155"/>
      <c r="D8" s="155"/>
      <c r="E8" s="155"/>
      <c r="F8" s="155"/>
      <c r="G8" s="155"/>
      <c r="H8" s="155"/>
    </row>
    <row r="9" spans="2:12" x14ac:dyDescent="0.25">
      <c r="B9" s="155"/>
      <c r="C9" s="155"/>
      <c r="D9" s="155"/>
      <c r="E9" s="155"/>
      <c r="F9" s="155"/>
      <c r="G9" s="155"/>
      <c r="H9" s="155"/>
    </row>
  </sheetData>
  <mergeCells count="5">
    <mergeCell ref="B2:F2"/>
    <mergeCell ref="H2:H3"/>
    <mergeCell ref="B3:C3"/>
    <mergeCell ref="B7:D7"/>
    <mergeCell ref="B8:H9"/>
  </mergeCells>
  <dataValidations count="1">
    <dataValidation type="list" errorStyle="information" allowBlank="1" showInputMessage="1" sqref="B3:C3" xr:uid="{00000000-0002-0000-0500-000000000000}">
      <formula1>"DARE,GNRE,DAS"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G4"/>
  <sheetViews>
    <sheetView workbookViewId="0">
      <selection activeCell="G2" sqref="G2"/>
    </sheetView>
  </sheetViews>
  <sheetFormatPr defaultRowHeight="15" x14ac:dyDescent="0.25"/>
  <cols>
    <col min="1" max="1" width="11" customWidth="1"/>
    <col min="2" max="2" width="18.7109375" customWidth="1"/>
    <col min="3" max="5" width="14.7109375" customWidth="1"/>
    <col min="6" max="7" width="18.7109375" customWidth="1"/>
  </cols>
  <sheetData>
    <row r="1" spans="1:7" ht="30.75" thickBot="1" x14ac:dyDescent="0.3">
      <c r="A1" s="14" t="s">
        <v>5</v>
      </c>
      <c r="B1" s="14" t="s">
        <v>15</v>
      </c>
      <c r="C1" s="14" t="s">
        <v>16</v>
      </c>
      <c r="D1" s="14" t="s">
        <v>17</v>
      </c>
      <c r="E1" s="16" t="s">
        <v>18</v>
      </c>
      <c r="F1" s="20" t="s">
        <v>19</v>
      </c>
      <c r="G1" s="18" t="s">
        <v>20</v>
      </c>
    </row>
    <row r="2" spans="1:7" ht="15.75" thickBot="1" x14ac:dyDescent="0.3">
      <c r="A2" s="10"/>
      <c r="B2" s="11"/>
      <c r="C2" s="12"/>
      <c r="D2" s="12"/>
      <c r="E2" s="15" t="str">
        <f>ObterFatorINPC(C2,D2)</f>
        <v>Data início não encontrada</v>
      </c>
      <c r="F2" s="19" t="e">
        <f>B2*E2-B2</f>
        <v>#VALUE!</v>
      </c>
      <c r="G2" s="17" t="e">
        <f>F2+B2</f>
        <v>#VALUE!</v>
      </c>
    </row>
    <row r="3" spans="1:7" ht="16.5" thickTop="1" thickBot="1" x14ac:dyDescent="0.3">
      <c r="A3" s="13"/>
      <c r="B3" s="11"/>
      <c r="C3" s="12"/>
      <c r="D3" s="12"/>
      <c r="E3" s="15"/>
      <c r="F3" s="19"/>
      <c r="G3" s="17"/>
    </row>
    <row r="4" spans="1:7" ht="15.75" thickTop="1" x14ac:dyDescent="0.25"/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01E9A-6BB5-4BEF-9293-CE4FFB6D9447}">
  <sheetPr codeName="Planilha12"/>
  <dimension ref="A1:N7"/>
  <sheetViews>
    <sheetView workbookViewId="0">
      <selection activeCell="N5" sqref="N5"/>
    </sheetView>
  </sheetViews>
  <sheetFormatPr defaultRowHeight="15" x14ac:dyDescent="0.25"/>
  <cols>
    <col min="1" max="1" width="12.42578125" bestFit="1" customWidth="1"/>
    <col min="2" max="2" width="11.28515625" bestFit="1" customWidth="1"/>
    <col min="3" max="3" width="11" bestFit="1" customWidth="1"/>
    <col min="4" max="4" width="20.42578125" bestFit="1" customWidth="1"/>
    <col min="5" max="5" width="10.7109375" bestFit="1" customWidth="1"/>
    <col min="6" max="6" width="14.42578125" bestFit="1" customWidth="1"/>
    <col min="7" max="7" width="13.140625" bestFit="1" customWidth="1"/>
    <col min="8" max="8" width="13.42578125" bestFit="1" customWidth="1"/>
    <col min="10" max="10" width="12.42578125" bestFit="1" customWidth="1"/>
    <col min="12" max="12" width="10" bestFit="1" customWidth="1"/>
    <col min="13" max="13" width="11.85546875" bestFit="1" customWidth="1"/>
  </cols>
  <sheetData>
    <row r="1" spans="1:14" ht="15.75" x14ac:dyDescent="0.25">
      <c r="A1" t="s">
        <v>301</v>
      </c>
      <c r="B1" t="s">
        <v>302</v>
      </c>
      <c r="C1" t="s">
        <v>303</v>
      </c>
      <c r="D1" t="s">
        <v>305</v>
      </c>
      <c r="E1" t="s">
        <v>306</v>
      </c>
      <c r="F1" t="s">
        <v>307</v>
      </c>
      <c r="G1" t="s">
        <v>309</v>
      </c>
      <c r="H1" t="s">
        <v>308</v>
      </c>
      <c r="J1" s="156" t="s">
        <v>310</v>
      </c>
      <c r="K1" s="156"/>
      <c r="L1" s="156"/>
      <c r="M1" s="156"/>
      <c r="N1" s="156"/>
    </row>
    <row r="2" spans="1:14" x14ac:dyDescent="0.25">
      <c r="A2" t="s">
        <v>294</v>
      </c>
      <c r="E2" t="s">
        <v>304</v>
      </c>
      <c r="F2" t="s">
        <v>304</v>
      </c>
      <c r="J2" t="b">
        <v>1</v>
      </c>
      <c r="K2" t="s">
        <v>25</v>
      </c>
      <c r="L2" t="s">
        <v>311</v>
      </c>
      <c r="M2" t="s">
        <v>312</v>
      </c>
      <c r="N2" t="s">
        <v>31</v>
      </c>
    </row>
    <row r="3" spans="1:14" x14ac:dyDescent="0.25">
      <c r="A3" t="s">
        <v>291</v>
      </c>
      <c r="B3" t="s">
        <v>304</v>
      </c>
      <c r="C3" t="s">
        <v>304</v>
      </c>
      <c r="D3" t="s">
        <v>304</v>
      </c>
      <c r="E3" t="s">
        <v>304</v>
      </c>
      <c r="F3" t="s">
        <v>304</v>
      </c>
      <c r="J3" t="b">
        <v>0</v>
      </c>
      <c r="K3" t="s">
        <v>24</v>
      </c>
      <c r="L3" t="s">
        <v>313</v>
      </c>
      <c r="M3" t="s">
        <v>314</v>
      </c>
      <c r="N3" t="s">
        <v>321</v>
      </c>
    </row>
    <row r="4" spans="1:14" x14ac:dyDescent="0.25">
      <c r="A4" t="s">
        <v>295</v>
      </c>
      <c r="B4" t="s">
        <v>304</v>
      </c>
      <c r="C4" t="s">
        <v>304</v>
      </c>
      <c r="D4" t="s">
        <v>304</v>
      </c>
      <c r="E4" t="s">
        <v>304</v>
      </c>
      <c r="F4" t="s">
        <v>304</v>
      </c>
      <c r="L4" t="s">
        <v>315</v>
      </c>
      <c r="M4" t="s">
        <v>23</v>
      </c>
      <c r="N4" t="s">
        <v>343</v>
      </c>
    </row>
    <row r="5" spans="1:14" x14ac:dyDescent="0.25">
      <c r="A5" t="s">
        <v>296</v>
      </c>
      <c r="B5" t="s">
        <v>304</v>
      </c>
      <c r="C5" t="s">
        <v>304</v>
      </c>
      <c r="D5" t="s">
        <v>304</v>
      </c>
      <c r="E5" t="s">
        <v>304</v>
      </c>
      <c r="F5" t="s">
        <v>304</v>
      </c>
      <c r="L5" t="s">
        <v>316</v>
      </c>
      <c r="M5" t="s">
        <v>317</v>
      </c>
    </row>
    <row r="6" spans="1:14" x14ac:dyDescent="0.25">
      <c r="A6" t="s">
        <v>297</v>
      </c>
      <c r="E6" t="s">
        <v>304</v>
      </c>
      <c r="F6" t="s">
        <v>304</v>
      </c>
      <c r="L6" t="s">
        <v>318</v>
      </c>
    </row>
    <row r="7" spans="1:14" x14ac:dyDescent="0.25">
      <c r="A7" t="s">
        <v>298</v>
      </c>
      <c r="E7" t="s">
        <v>304</v>
      </c>
      <c r="F7" t="s">
        <v>304</v>
      </c>
      <c r="G7">
        <v>5</v>
      </c>
      <c r="H7">
        <v>5</v>
      </c>
    </row>
  </sheetData>
  <mergeCells count="1">
    <mergeCell ref="J1:N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Painel</vt:lpstr>
      <vt:lpstr>Fianca Lista</vt:lpstr>
      <vt:lpstr>Fianca</vt:lpstr>
      <vt:lpstr>IPVA</vt:lpstr>
      <vt:lpstr>Preenchimento - Fianca</vt:lpstr>
      <vt:lpstr>Preenchimento - IPVA</vt:lpstr>
      <vt:lpstr>Preenchimento - ITCD</vt:lpstr>
      <vt:lpstr>Preenchimento - ICMS</vt:lpstr>
      <vt:lpstr>ITCD</vt:lpstr>
      <vt:lpstr>Municípios</vt:lpstr>
      <vt:lpstr>INPC</vt:lpstr>
      <vt:lpstr>ICMS</vt:lpstr>
      <vt:lpstr>Marcar DARE</vt:lpstr>
      <vt:lpstr>Memória de Cálculo</vt:lpstr>
      <vt:lpstr>Correção INPC</vt:lpstr>
      <vt:lpstr>Configurações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Ferreira Galvao Neto</dc:creator>
  <cp:lastModifiedBy>Pedro Ferreira Galvao Neto</cp:lastModifiedBy>
  <dcterms:created xsi:type="dcterms:W3CDTF">2026-01-15T14:03:26Z</dcterms:created>
  <dcterms:modified xsi:type="dcterms:W3CDTF">2026-04-16T14:04:17Z</dcterms:modified>
</cp:coreProperties>
</file>